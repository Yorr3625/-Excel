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yodorova\Desktop\Июль 2026\30.07\п\"/>
    </mc:Choice>
  </mc:AlternateContent>
  <bookViews>
    <workbookView xWindow="0" yWindow="0" windowWidth="24000" windowHeight="75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59" i="1" l="1"/>
  <c r="D59" i="1"/>
  <c r="AT58" i="1"/>
  <c r="D58" i="1"/>
  <c r="AT57" i="1"/>
  <c r="D57" i="1"/>
  <c r="AT56" i="1"/>
  <c r="D56" i="1"/>
  <c r="AT55" i="1"/>
  <c r="D55" i="1"/>
  <c r="AT54" i="1"/>
  <c r="D54" i="1"/>
  <c r="AT53" i="1"/>
  <c r="D53" i="1"/>
  <c r="AT52" i="1"/>
  <c r="D52" i="1"/>
  <c r="AT51" i="1"/>
  <c r="D51" i="1"/>
  <c r="AT50" i="1"/>
  <c r="D50" i="1"/>
  <c r="AT49" i="1"/>
  <c r="D49" i="1"/>
  <c r="AT48" i="1"/>
  <c r="D48" i="1"/>
  <c r="AT47" i="1"/>
  <c r="D47" i="1"/>
  <c r="AT46" i="1"/>
  <c r="D46" i="1"/>
  <c r="AT45" i="1"/>
  <c r="D45" i="1"/>
  <c r="AT44" i="1"/>
  <c r="D44" i="1"/>
  <c r="AT43" i="1"/>
  <c r="D43" i="1"/>
  <c r="AT42" i="1"/>
  <c r="D42" i="1"/>
  <c r="AT41" i="1"/>
  <c r="D41" i="1"/>
  <c r="AT40" i="1"/>
  <c r="D40" i="1"/>
  <c r="AT39" i="1"/>
  <c r="D39" i="1"/>
  <c r="AT38" i="1"/>
  <c r="D38" i="1"/>
  <c r="AT37" i="1"/>
  <c r="D37" i="1"/>
  <c r="AT36" i="1"/>
  <c r="D36" i="1"/>
  <c r="AT35" i="1"/>
  <c r="D35" i="1"/>
  <c r="AT34" i="1"/>
  <c r="D34" i="1"/>
  <c r="AT33" i="1"/>
  <c r="D33" i="1"/>
  <c r="AT32" i="1"/>
  <c r="D32" i="1"/>
  <c r="AT31" i="1"/>
  <c r="D31" i="1"/>
  <c r="AT30" i="1"/>
  <c r="D30" i="1"/>
  <c r="AT29" i="1"/>
  <c r="D29" i="1"/>
  <c r="AT28" i="1"/>
  <c r="D28" i="1"/>
  <c r="AT27" i="1"/>
  <c r="D27" i="1"/>
  <c r="AT26" i="1"/>
  <c r="D26" i="1"/>
  <c r="AT25" i="1"/>
  <c r="D25" i="1"/>
  <c r="AT24" i="1"/>
  <c r="D24" i="1"/>
  <c r="AT23" i="1"/>
  <c r="D23" i="1"/>
  <c r="AT22" i="1"/>
  <c r="D22" i="1"/>
  <c r="AT21" i="1"/>
  <c r="D21" i="1"/>
  <c r="AT20" i="1"/>
  <c r="D20" i="1"/>
  <c r="AT19" i="1"/>
  <c r="D19" i="1"/>
  <c r="AT18" i="1"/>
  <c r="D18" i="1"/>
  <c r="AT17" i="1"/>
  <c r="D17" i="1"/>
  <c r="AT16" i="1"/>
  <c r="D16" i="1"/>
  <c r="AT15" i="1"/>
  <c r="D15" i="1"/>
  <c r="AT14" i="1"/>
  <c r="D14" i="1"/>
  <c r="AT13" i="1"/>
  <c r="D13" i="1"/>
  <c r="AT12" i="1"/>
  <c r="D12" i="1"/>
  <c r="AT11" i="1"/>
  <c r="D11" i="1"/>
  <c r="AT10" i="1"/>
  <c r="D10" i="1"/>
  <c r="AT9" i="1"/>
  <c r="D9" i="1"/>
  <c r="AT8" i="1"/>
  <c r="D8" i="1"/>
  <c r="AT7" i="1"/>
  <c r="D7" i="1"/>
  <c r="AT6" i="1"/>
  <c r="D6" i="1"/>
  <c r="AT5" i="1"/>
  <c r="D5" i="1"/>
  <c r="AT4" i="1"/>
  <c r="D4" i="1"/>
  <c r="AT3" i="1"/>
  <c r="D3" i="1"/>
  <c r="B64" i="1" l="1"/>
</calcChain>
</file>

<file path=xl/sharedStrings.xml><?xml version="1.0" encoding="utf-8"?>
<sst xmlns="http://schemas.openxmlformats.org/spreadsheetml/2006/main" count="204" uniqueCount="116">
  <si>
    <t xml:space="preserve">кратность </t>
  </si>
  <si>
    <t>ФМ 4 Донецк Генерала Антонова 5</t>
  </si>
  <si>
    <t>ФМ 12 Донецк Челюскинцев 107</t>
  </si>
  <si>
    <t>ФМ 15 Донецк Горького 59а</t>
  </si>
  <si>
    <t>ФМ 16 Донецк пр 25-я РККА 5в</t>
  </si>
  <si>
    <t>ФМ 19 Донецк Мира 13</t>
  </si>
  <si>
    <t>ФМ 21 Донецк Одесская 1в</t>
  </si>
  <si>
    <t>ФМ 22 Донецк Университетская 40</t>
  </si>
  <si>
    <t>ФМ 23 Донецк Куйбышева 242</t>
  </si>
  <si>
    <t>ФМ 25 Донецк Артема 146</t>
  </si>
  <si>
    <t>ФМ 26 Донецк Раздольная 19а</t>
  </si>
  <si>
    <t>ФМ 31 Донецка Ленинский 106</t>
  </si>
  <si>
    <t>ФМ 35 Донецк Красногвардейский 38в</t>
  </si>
  <si>
    <t>ФМ 36 Донецк Ходаковского 2а</t>
  </si>
  <si>
    <t>ФМ 40 Донецк Университетская 80а</t>
  </si>
  <si>
    <t>ФМ 41 Донецк Цусимская 81</t>
  </si>
  <si>
    <t>ФМ 42 Донецк Тренева 3</t>
  </si>
  <si>
    <t>ФМ 43 Донецк Челюскинцев 204</t>
  </si>
  <si>
    <t>ФМ 44 Донецк Панфилова 21/4</t>
  </si>
  <si>
    <t>ФМ 45 ДонецкАртема 169ш</t>
  </si>
  <si>
    <t>ФМ 46 Донецк Роза люксембург 54а</t>
  </si>
  <si>
    <t>ФМ 47 Донецк Артема 185д</t>
  </si>
  <si>
    <t>ФМ 49 Макеевка ул.Малиновского 63</t>
  </si>
  <si>
    <t>ФМ 51 Донецк ул. Пухова 8</t>
  </si>
  <si>
    <t>ФМ 52  Донецк б.Шевченко 93А</t>
  </si>
  <si>
    <t>ФМ 54 Донецк ул.Артема 71</t>
  </si>
  <si>
    <t>ФМ 60 Донецк Островского 20а</t>
  </si>
  <si>
    <t>ФМ 67 Донецк Артема 34</t>
  </si>
  <si>
    <t>ФМ 68 Донецк Ильича 93д</t>
  </si>
  <si>
    <t>ФМ 69 Донецк 50 лет СССР 151В</t>
  </si>
  <si>
    <t>01170 Донецк-ул. Октября, 25А</t>
  </si>
  <si>
    <t>01177 Донецк-ул. Октябрьская, 22</t>
  </si>
  <si>
    <t>01178 Донецк-ул. Коммунистическая, 14Д</t>
  </si>
  <si>
    <t>01198 Донецк-пр-т, Дзержинского, 6А</t>
  </si>
  <si>
    <t>01210 Донецк, ул. Бирюзова, д.40а</t>
  </si>
  <si>
    <t>01208 Донецк, пр-т Партизанский, д.39</t>
  </si>
  <si>
    <t>М1 Донецк пр.Таманский 11</t>
  </si>
  <si>
    <t>М2 Донецк ул.Стадионная 3д</t>
  </si>
  <si>
    <t>М3 Донецк пр.Ильича 23д</t>
  </si>
  <si>
    <t>М4 Донецк б.Шевченко 41д</t>
  </si>
  <si>
    <t>М5 Донецк Землянская 10б</t>
  </si>
  <si>
    <t>М7 02107 Донецк-ул. Петровского, 117Г</t>
  </si>
  <si>
    <t>Ищенко БЕЗ НДС</t>
  </si>
  <si>
    <t>артикул</t>
  </si>
  <si>
    <t>общий</t>
  </si>
  <si>
    <t>заказ</t>
  </si>
  <si>
    <t>БЕЗ НДС</t>
  </si>
  <si>
    <t>С НДС</t>
  </si>
  <si>
    <t>10кг</t>
  </si>
  <si>
    <t>25кг</t>
  </si>
  <si>
    <t>15кг</t>
  </si>
  <si>
    <t>Яблоко Айдаред</t>
  </si>
  <si>
    <t>Яблоко Голден  вес</t>
  </si>
  <si>
    <t>Яблоко гренни смит вес</t>
  </si>
  <si>
    <t>Яблоко Симиренко вес</t>
  </si>
  <si>
    <t>Яблоко Слава Победителю вес  СОЦ</t>
  </si>
  <si>
    <t>яблоко ред чиф</t>
  </si>
  <si>
    <t>Яблоко Женева  вес</t>
  </si>
  <si>
    <t>Яблоко черный принц вес</t>
  </si>
  <si>
    <t xml:space="preserve">Яблоко Моди вес </t>
  </si>
  <si>
    <t xml:space="preserve">Абрикос вес </t>
  </si>
  <si>
    <t>10 кг</t>
  </si>
  <si>
    <t>Абрикос (краснобокий) вес</t>
  </si>
  <si>
    <t>шт</t>
  </si>
  <si>
    <t>Дыня вес</t>
  </si>
  <si>
    <t>Дыня Амал вес</t>
  </si>
  <si>
    <t>5кг</t>
  </si>
  <si>
    <t>Авокадо</t>
  </si>
  <si>
    <t>16шт</t>
  </si>
  <si>
    <t>Авокадо Хасс 2 шт</t>
  </si>
  <si>
    <t>Ананас, №5,6 шт</t>
  </si>
  <si>
    <t>5-6шт</t>
  </si>
  <si>
    <t>2кг</t>
  </si>
  <si>
    <t>Лайм вес</t>
  </si>
  <si>
    <t>Виноград Кардинал вес</t>
  </si>
  <si>
    <t>Виноград Синий вес(ДАМСКИЙ)</t>
  </si>
  <si>
    <t>Виноград Дамский Пальчик вес</t>
  </si>
  <si>
    <t>Виноград  розовый Дамский Пальчик вес</t>
  </si>
  <si>
    <t>Виноград черный мерседес  вес</t>
  </si>
  <si>
    <t>Грейпфрут вес</t>
  </si>
  <si>
    <t>Груша Санта Мария</t>
  </si>
  <si>
    <t>Груша Аббат вес</t>
  </si>
  <si>
    <t>Груша Ред Барлет вес</t>
  </si>
  <si>
    <t>Киви Лукошко шт</t>
  </si>
  <si>
    <t xml:space="preserve">Лимон вес </t>
  </si>
  <si>
    <t>Нектарин вес</t>
  </si>
  <si>
    <t>Нектарин (однорядка) вес</t>
  </si>
  <si>
    <t>Нектарин Бэйби вес</t>
  </si>
  <si>
    <t xml:space="preserve">Персик вес </t>
  </si>
  <si>
    <t>Персик Инжирный вес</t>
  </si>
  <si>
    <t>Помело вес</t>
  </si>
  <si>
    <t>Кабачок вес</t>
  </si>
  <si>
    <t>Капуста Синяя вес</t>
  </si>
  <si>
    <t>Огурец Кураж вес</t>
  </si>
  <si>
    <t>Перец Болгарский Желтый вес</t>
  </si>
  <si>
    <t>7кг</t>
  </si>
  <si>
    <t>Перец Болгарский Красный вес</t>
  </si>
  <si>
    <t>Перец Болгарский Оранжевый вес</t>
  </si>
  <si>
    <t>Перец Болгарский Зеленый вес</t>
  </si>
  <si>
    <t xml:space="preserve">Помидор Сливка вес </t>
  </si>
  <si>
    <t>Помидор тепличный</t>
  </si>
  <si>
    <t>Помидор Мохито Красный вес</t>
  </si>
  <si>
    <t>Помидор Мохито розовый вес</t>
  </si>
  <si>
    <t>Помидор Розовый вес</t>
  </si>
  <si>
    <t>Помидор розовый вес (однорядка)</t>
  </si>
  <si>
    <t>Помидор Кумато вес</t>
  </si>
  <si>
    <t>Салат Айсберг вес</t>
  </si>
  <si>
    <t>Яблоко Симиринка соц товар вес</t>
  </si>
  <si>
    <t>итого</t>
  </si>
  <si>
    <t xml:space="preserve">Виноград Шайн Мускат </t>
  </si>
  <si>
    <t>Виноград Киш Миш вес</t>
  </si>
  <si>
    <t>Слива вес</t>
  </si>
  <si>
    <t>Капуста Цветная вес</t>
  </si>
  <si>
    <t xml:space="preserve">Огурец тепличный вес </t>
  </si>
  <si>
    <t>Помидор сливка желтая вес</t>
  </si>
  <si>
    <t>Помидор желтый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</si>
</sst>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indexed="10"/>
      <name val="Arial Cyr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14" fontId="0" fillId="0" borderId="1" xfId="0" applyNumberFormat="1" applyBorder="1" applyAlignment="1">
      <alignment horizontal="center" vertical="center" textRotation="90"/>
    </xf>
    <xf numFmtId="0" fontId="0" fillId="0" borderId="1" xfId="0" applyBorder="1" applyAlignment="1">
      <alignment textRotation="90"/>
    </xf>
    <xf numFmtId="0" fontId="0" fillId="2" borderId="1" xfId="0" applyFill="1" applyBorder="1" applyAlignment="1">
      <alignment textRotation="90"/>
    </xf>
    <xf numFmtId="0" fontId="2" fillId="0" borderId="1" xfId="0" applyFont="1" applyBorder="1" applyAlignment="1">
      <alignment textRotation="90"/>
    </xf>
    <xf numFmtId="0" fontId="0" fillId="3" borderId="1" xfId="0" applyFill="1" applyBorder="1" applyAlignment="1">
      <alignment textRotation="90"/>
    </xf>
    <xf numFmtId="164" fontId="0" fillId="4" borderId="1" xfId="0" applyNumberFormat="1" applyFill="1" applyBorder="1" applyAlignment="1">
      <alignment textRotation="90"/>
    </xf>
    <xf numFmtId="0" fontId="0" fillId="4" borderId="1" xfId="0" applyFill="1" applyBorder="1" applyAlignment="1">
      <alignment textRotation="90"/>
    </xf>
    <xf numFmtId="0" fontId="0" fillId="0" borderId="1" xfId="0" applyBorder="1"/>
    <xf numFmtId="0" fontId="7" fillId="0" borderId="0" xfId="0" applyFont="1"/>
    <xf numFmtId="164" fontId="0" fillId="0" borderId="0" xfId="0" applyNumberFormat="1"/>
    <xf numFmtId="164" fontId="0" fillId="2" borderId="1" xfId="0" applyNumberFormat="1" applyFill="1" applyBorder="1"/>
    <xf numFmtId="0" fontId="8" fillId="2" borderId="1" xfId="0" applyFont="1" applyFill="1" applyBorder="1"/>
    <xf numFmtId="0" fontId="8" fillId="0" borderId="0" xfId="0" applyFont="1"/>
    <xf numFmtId="0" fontId="4" fillId="2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textRotation="90"/>
    </xf>
    <xf numFmtId="0" fontId="0" fillId="0" borderId="0" xfId="0"/>
    <xf numFmtId="0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wrapText="1"/>
    </xf>
    <xf numFmtId="49" fontId="4" fillId="2" borderId="2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wrapText="1"/>
    </xf>
    <xf numFmtId="49" fontId="3" fillId="2" borderId="2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0" fillId="2" borderId="0" xfId="0" applyFill="1"/>
    <xf numFmtId="49" fontId="4" fillId="2" borderId="1" xfId="6" applyNumberFormat="1" applyFont="1" applyFill="1" applyBorder="1" applyAlignment="1">
      <alignment wrapText="1"/>
    </xf>
    <xf numFmtId="49" fontId="4" fillId="2" borderId="2" xfId="6" applyNumberFormat="1" applyFont="1" applyFill="1" applyBorder="1" applyAlignment="1">
      <alignment horizontal="center" wrapText="1"/>
    </xf>
    <xf numFmtId="0" fontId="4" fillId="2" borderId="1" xfId="6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 applyAlignment="1">
      <alignment horizontal="center" wrapText="1"/>
    </xf>
    <xf numFmtId="49" fontId="5" fillId="2" borderId="1" xfId="9" applyNumberFormat="1" applyFont="1" applyFill="1" applyBorder="1" applyAlignment="1">
      <alignment horizontal="center" wrapText="1"/>
    </xf>
    <xf numFmtId="0" fontId="4" fillId="2" borderId="1" xfId="11" applyFont="1" applyFill="1" applyBorder="1"/>
    <xf numFmtId="0" fontId="4" fillId="2" borderId="2" xfId="11" applyFont="1" applyFill="1" applyBorder="1" applyAlignment="1">
      <alignment horizontal="center" vertical="center"/>
    </xf>
    <xf numFmtId="0" fontId="4" fillId="2" borderId="1" xfId="12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8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49" fontId="3" fillId="2" borderId="1" xfId="14" applyNumberFormat="1" applyFont="1" applyFill="1" applyBorder="1" applyAlignment="1">
      <alignment wrapText="1"/>
    </xf>
    <xf numFmtId="49" fontId="3" fillId="2" borderId="2" xfId="14" applyNumberFormat="1" applyFont="1" applyFill="1" applyBorder="1" applyAlignment="1">
      <alignment horizontal="center" vertical="center" wrapText="1"/>
    </xf>
    <xf numFmtId="49" fontId="3" fillId="2" borderId="1" xfId="14" applyNumberFormat="1" applyFont="1" applyFill="1" applyBorder="1" applyAlignment="1">
      <alignment horizontal="center" vertical="center" wrapText="1"/>
    </xf>
    <xf numFmtId="49" fontId="4" fillId="2" borderId="3" xfId="15" applyNumberFormat="1" applyFont="1" applyFill="1" applyBorder="1" applyAlignment="1">
      <alignment wrapText="1"/>
    </xf>
    <xf numFmtId="49" fontId="4" fillId="2" borderId="2" xfId="15" applyNumberFormat="1" applyFont="1" applyFill="1" applyBorder="1" applyAlignment="1">
      <alignment horizontal="center" wrapText="1"/>
    </xf>
    <xf numFmtId="0" fontId="4" fillId="2" borderId="1" xfId="15" applyNumberFormat="1" applyFont="1" applyFill="1" applyBorder="1" applyAlignment="1">
      <alignment horizontal="center" vertical="center" wrapText="1"/>
    </xf>
    <xf numFmtId="49" fontId="4" fillId="2" borderId="2" xfId="18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49" fontId="3" fillId="2" borderId="3" xfId="17" applyNumberFormat="1" applyFont="1" applyFill="1" applyBorder="1" applyAlignment="1">
      <alignment wrapText="1"/>
    </xf>
    <xf numFmtId="49" fontId="3" fillId="2" borderId="2" xfId="17" applyNumberFormat="1" applyFont="1" applyFill="1" applyBorder="1" applyAlignment="1">
      <alignment horizontal="center" wrapText="1"/>
    </xf>
    <xf numFmtId="0" fontId="3" fillId="2" borderId="1" xfId="17" applyNumberFormat="1" applyFont="1" applyFill="1" applyBorder="1" applyAlignment="1">
      <alignment horizontal="center" wrapText="1"/>
    </xf>
    <xf numFmtId="0" fontId="3" fillId="2" borderId="1" xfId="19" applyFont="1" applyFill="1" applyBorder="1"/>
    <xf numFmtId="49" fontId="3" fillId="2" borderId="2" xfId="20" applyNumberFormat="1" applyFont="1" applyFill="1" applyBorder="1" applyAlignment="1">
      <alignment horizontal="center" wrapText="1"/>
    </xf>
    <xf numFmtId="0" fontId="3" fillId="2" borderId="1" xfId="19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9" fontId="3" fillId="2" borderId="1" xfId="13" applyNumberFormat="1" applyFont="1" applyFill="1" applyBorder="1" applyAlignment="1">
      <alignment wrapText="1"/>
    </xf>
    <xf numFmtId="49" fontId="3" fillId="2" borderId="2" xfId="13" applyNumberFormat="1" applyFont="1" applyFill="1" applyBorder="1" applyAlignment="1">
      <alignment horizontal="center" wrapText="1"/>
    </xf>
    <xf numFmtId="0" fontId="3" fillId="2" borderId="1" xfId="13" applyNumberFormat="1" applyFont="1" applyFill="1" applyBorder="1" applyAlignment="1">
      <alignment horizontal="center" vertical="center" wrapText="1"/>
    </xf>
    <xf numFmtId="49" fontId="3" fillId="2" borderId="1" xfId="24" applyNumberFormat="1" applyFont="1" applyFill="1" applyBorder="1" applyAlignment="1">
      <alignment wrapText="1"/>
    </xf>
    <xf numFmtId="49" fontId="3" fillId="2" borderId="2" xfId="24" applyNumberFormat="1" applyFont="1" applyFill="1" applyBorder="1" applyAlignment="1">
      <alignment horizontal="center" wrapText="1"/>
    </xf>
    <xf numFmtId="49" fontId="3" fillId="2" borderId="1" xfId="24" applyNumberFormat="1" applyFont="1" applyFill="1" applyBorder="1" applyAlignment="1">
      <alignment horizontal="center" vertical="center" wrapText="1"/>
    </xf>
    <xf numFmtId="0" fontId="4" fillId="2" borderId="1" xfId="25" applyFont="1" applyFill="1" applyBorder="1"/>
    <xf numFmtId="0" fontId="4" fillId="2" borderId="1" xfId="25" applyFont="1" applyFill="1" applyBorder="1" applyAlignment="1">
      <alignment horizontal="center" vertical="center"/>
    </xf>
    <xf numFmtId="0" fontId="4" fillId="2" borderId="1" xfId="25" applyFont="1" applyFill="1" applyBorder="1" applyAlignment="1">
      <alignment horizontal="center"/>
    </xf>
    <xf numFmtId="0" fontId="7" fillId="2" borderId="1" xfId="0" applyFont="1" applyFill="1" applyBorder="1"/>
  </cellXfs>
  <cellStyles count="26">
    <cellStyle name="Обычный" xfId="0" builtinId="0"/>
    <cellStyle name="Обычный 104 23" xfId="3"/>
    <cellStyle name="Обычный 104 26" xfId="1"/>
    <cellStyle name="Обычный 104 8" xfId="4"/>
    <cellStyle name="Обычный 104 8 8" xfId="5"/>
    <cellStyle name="Обычный 112" xfId="8"/>
    <cellStyle name="Обычный 112 8" xfId="12"/>
    <cellStyle name="Обычный 131" xfId="15"/>
    <cellStyle name="Обычный 175" xfId="11"/>
    <cellStyle name="Обычный 18" xfId="9"/>
    <cellStyle name="Обычный 20" xfId="23"/>
    <cellStyle name="Обычный 25" xfId="18"/>
    <cellStyle name="Обычный 28" xfId="24"/>
    <cellStyle name="Обычный 29" xfId="13"/>
    <cellStyle name="Обычный 31" xfId="17"/>
    <cellStyle name="Обычный 31 16" xfId="20"/>
    <cellStyle name="Обычный 31 16 11" xfId="22"/>
    <cellStyle name="Обычный 31 2" xfId="16"/>
    <cellStyle name="Обычный 35" xfId="19"/>
    <cellStyle name="Обычный 35 11" xfId="21"/>
    <cellStyle name="Обычный 4" xfId="14"/>
    <cellStyle name="Обычный 44 7" xfId="6"/>
    <cellStyle name="Обычный 5" xfId="7"/>
    <cellStyle name="Обычный 53" xfId="10"/>
    <cellStyle name="Обычный 60" xfId="25"/>
    <cellStyle name="Обычный 6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4"/>
  <sheetViews>
    <sheetView tabSelected="1" topLeftCell="Y1" workbookViewId="0">
      <selection activeCell="AV1" sqref="AV1:AV1048576"/>
    </sheetView>
  </sheetViews>
  <sheetFormatPr defaultRowHeight="15" x14ac:dyDescent="0.25"/>
  <cols>
    <col min="1" max="1" width="53.140625" bestFit="1" customWidth="1"/>
    <col min="5" max="26" width="9.140625" customWidth="1"/>
    <col min="27" max="27" width="9.140625" style="13" customWidth="1"/>
    <col min="28" max="38" width="9.140625" customWidth="1"/>
    <col min="39" max="39" width="9.140625" style="9" customWidth="1"/>
    <col min="40" max="45" width="9.140625" customWidth="1"/>
    <col min="46" max="46" width="9.140625" style="10" customWidth="1"/>
    <col min="47" max="47" width="9.140625" customWidth="1"/>
  </cols>
  <sheetData>
    <row r="1" spans="1:47" ht="153.75" customHeight="1" x14ac:dyDescent="0.25">
      <c r="A1" s="1">
        <v>46233</v>
      </c>
      <c r="B1" s="2" t="s">
        <v>0</v>
      </c>
      <c r="C1" s="2"/>
      <c r="D1" s="2"/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15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7" t="s">
        <v>42</v>
      </c>
    </row>
    <row r="2" spans="1:47" ht="45.75" x14ac:dyDescent="0.25">
      <c r="A2" s="2"/>
      <c r="B2" s="2"/>
      <c r="C2" s="2" t="s">
        <v>43</v>
      </c>
      <c r="D2" s="2" t="s">
        <v>44</v>
      </c>
      <c r="E2" s="2" t="s">
        <v>45</v>
      </c>
      <c r="F2" s="2" t="s">
        <v>45</v>
      </c>
      <c r="G2" s="2" t="s">
        <v>45</v>
      </c>
      <c r="H2" s="2" t="s">
        <v>45</v>
      </c>
      <c r="I2" s="2" t="s">
        <v>45</v>
      </c>
      <c r="J2" s="3" t="s">
        <v>45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45</v>
      </c>
      <c r="S2" s="2" t="s">
        <v>45</v>
      </c>
      <c r="T2" s="2" t="s">
        <v>45</v>
      </c>
      <c r="U2" s="2" t="s">
        <v>45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45</v>
      </c>
      <c r="AA2" s="15" t="s">
        <v>45</v>
      </c>
      <c r="AB2" s="2" t="s">
        <v>45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4" t="s">
        <v>45</v>
      </c>
      <c r="AN2" s="5" t="s">
        <v>45</v>
      </c>
      <c r="AO2" s="5" t="s">
        <v>45</v>
      </c>
      <c r="AP2" s="5" t="s">
        <v>45</v>
      </c>
      <c r="AQ2" s="5" t="s">
        <v>45</v>
      </c>
      <c r="AR2" s="5" t="s">
        <v>45</v>
      </c>
      <c r="AS2" s="5" t="s">
        <v>45</v>
      </c>
      <c r="AT2" s="6" t="s">
        <v>46</v>
      </c>
      <c r="AU2" s="7" t="s">
        <v>47</v>
      </c>
    </row>
    <row r="3" spans="1:47" s="27" customFormat="1" x14ac:dyDescent="0.25">
      <c r="A3" s="20" t="s">
        <v>51</v>
      </c>
      <c r="B3" s="21" t="s">
        <v>50</v>
      </c>
      <c r="C3" s="22">
        <v>8491</v>
      </c>
      <c r="D3" s="23">
        <f t="shared" ref="D3:D34" si="0">SUM(E3:AS3)</f>
        <v>75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>
        <v>15</v>
      </c>
      <c r="R3" s="25"/>
      <c r="S3" s="24"/>
      <c r="T3" s="24"/>
      <c r="U3" s="24"/>
      <c r="V3" s="24"/>
      <c r="W3" s="24"/>
      <c r="X3" s="24"/>
      <c r="Y3" s="24"/>
      <c r="Z3" s="24"/>
      <c r="AA3" s="14"/>
      <c r="AB3" s="24"/>
      <c r="AC3" s="24">
        <v>0</v>
      </c>
      <c r="AD3" s="24"/>
      <c r="AE3" s="24"/>
      <c r="AF3" s="24"/>
      <c r="AG3" s="24"/>
      <c r="AH3" s="24"/>
      <c r="AI3" s="24"/>
      <c r="AJ3" s="26"/>
      <c r="AK3" s="24">
        <v>30</v>
      </c>
      <c r="AL3" s="24"/>
      <c r="AM3" s="24">
        <v>30</v>
      </c>
      <c r="AN3" s="24"/>
      <c r="AO3" s="24"/>
      <c r="AP3" s="24"/>
      <c r="AQ3" s="24"/>
      <c r="AR3" s="24"/>
      <c r="AS3" s="24"/>
      <c r="AT3" s="11">
        <f t="shared" ref="AT3:AT14" si="1">AU3/1.1</f>
        <v>122.72727272727272</v>
      </c>
      <c r="AU3" s="23">
        <v>135</v>
      </c>
    </row>
    <row r="4" spans="1:47" s="27" customFormat="1" x14ac:dyDescent="0.25">
      <c r="A4" s="20" t="s">
        <v>52</v>
      </c>
      <c r="B4" s="21" t="s">
        <v>50</v>
      </c>
      <c r="C4" s="22">
        <v>20891</v>
      </c>
      <c r="D4" s="23">
        <f t="shared" si="0"/>
        <v>255</v>
      </c>
      <c r="E4" s="24"/>
      <c r="F4" s="24"/>
      <c r="G4" s="24">
        <v>15</v>
      </c>
      <c r="H4" s="24"/>
      <c r="I4" s="24"/>
      <c r="J4" s="24"/>
      <c r="K4" s="24"/>
      <c r="L4" s="24"/>
      <c r="M4" s="24">
        <v>30</v>
      </c>
      <c r="N4" s="24"/>
      <c r="O4" s="24"/>
      <c r="P4" s="24"/>
      <c r="Q4" s="24"/>
      <c r="R4" s="25"/>
      <c r="S4" s="24"/>
      <c r="T4" s="24"/>
      <c r="U4" s="24"/>
      <c r="V4" s="24"/>
      <c r="W4" s="24"/>
      <c r="X4" s="24"/>
      <c r="Y4" s="24">
        <v>15</v>
      </c>
      <c r="Z4" s="24"/>
      <c r="AA4" s="14"/>
      <c r="AB4" s="24">
        <v>30</v>
      </c>
      <c r="AC4" s="24"/>
      <c r="AD4" s="24"/>
      <c r="AE4" s="24"/>
      <c r="AF4" s="24"/>
      <c r="AG4" s="24"/>
      <c r="AH4" s="24"/>
      <c r="AI4" s="24"/>
      <c r="AJ4" s="26">
        <v>15</v>
      </c>
      <c r="AK4" s="24"/>
      <c r="AL4" s="24"/>
      <c r="AM4" s="24"/>
      <c r="AN4" s="24"/>
      <c r="AO4" s="24"/>
      <c r="AP4" s="24">
        <v>100</v>
      </c>
      <c r="AQ4" s="24"/>
      <c r="AR4" s="24">
        <v>50</v>
      </c>
      <c r="AS4" s="24"/>
      <c r="AT4" s="11">
        <f t="shared" si="1"/>
        <v>163.63636363636363</v>
      </c>
      <c r="AU4" s="23">
        <v>180</v>
      </c>
    </row>
    <row r="5" spans="1:47" s="27" customFormat="1" x14ac:dyDescent="0.25">
      <c r="A5" s="20" t="s">
        <v>53</v>
      </c>
      <c r="B5" s="21" t="s">
        <v>50</v>
      </c>
      <c r="C5" s="22">
        <v>8493</v>
      </c>
      <c r="D5" s="23">
        <f t="shared" si="0"/>
        <v>140</v>
      </c>
      <c r="E5" s="24"/>
      <c r="F5" s="24"/>
      <c r="G5" s="24"/>
      <c r="H5" s="24"/>
      <c r="I5" s="24"/>
      <c r="J5" s="24"/>
      <c r="K5" s="24"/>
      <c r="L5" s="24"/>
      <c r="M5" s="24"/>
      <c r="N5" s="24"/>
      <c r="O5" s="24">
        <v>30</v>
      </c>
      <c r="P5" s="24"/>
      <c r="Q5" s="24">
        <v>30</v>
      </c>
      <c r="R5" s="25"/>
      <c r="S5" s="24"/>
      <c r="T5" s="24"/>
      <c r="U5" s="24"/>
      <c r="V5" s="24"/>
      <c r="W5" s="24"/>
      <c r="X5" s="24"/>
      <c r="Y5" s="24"/>
      <c r="Z5" s="24"/>
      <c r="AA5" s="14"/>
      <c r="AB5" s="24"/>
      <c r="AC5" s="24"/>
      <c r="AD5" s="24"/>
      <c r="AE5" s="24"/>
      <c r="AF5" s="24">
        <v>30</v>
      </c>
      <c r="AG5" s="24"/>
      <c r="AH5" s="24"/>
      <c r="AI5" s="24"/>
      <c r="AJ5" s="26"/>
      <c r="AK5" s="24"/>
      <c r="AL5" s="24"/>
      <c r="AM5" s="24"/>
      <c r="AN5" s="24"/>
      <c r="AO5" s="24"/>
      <c r="AP5" s="24"/>
      <c r="AQ5" s="24"/>
      <c r="AR5" s="24">
        <v>50</v>
      </c>
      <c r="AS5" s="24"/>
      <c r="AT5" s="11">
        <f t="shared" si="1"/>
        <v>127.27272727272727</v>
      </c>
      <c r="AU5" s="23">
        <v>140</v>
      </c>
    </row>
    <row r="6" spans="1:47" s="27" customFormat="1" x14ac:dyDescent="0.25">
      <c r="A6" s="20" t="s">
        <v>54</v>
      </c>
      <c r="B6" s="21" t="s">
        <v>50</v>
      </c>
      <c r="C6" s="22">
        <v>8495</v>
      </c>
      <c r="D6" s="23">
        <f t="shared" si="0"/>
        <v>220</v>
      </c>
      <c r="E6" s="24"/>
      <c r="F6" s="24"/>
      <c r="G6" s="24"/>
      <c r="H6" s="24"/>
      <c r="I6" s="24"/>
      <c r="J6" s="24"/>
      <c r="K6" s="24"/>
      <c r="L6" s="24"/>
      <c r="M6" s="24">
        <v>30</v>
      </c>
      <c r="N6" s="24"/>
      <c r="O6" s="24">
        <v>30</v>
      </c>
      <c r="P6" s="24">
        <v>15</v>
      </c>
      <c r="Q6" s="24"/>
      <c r="R6" s="25"/>
      <c r="S6" s="24"/>
      <c r="T6" s="24"/>
      <c r="U6" s="24"/>
      <c r="V6" s="24"/>
      <c r="W6" s="24"/>
      <c r="X6" s="24">
        <v>15</v>
      </c>
      <c r="Y6" s="24"/>
      <c r="Z6" s="24"/>
      <c r="AA6" s="14"/>
      <c r="AB6" s="24"/>
      <c r="AC6" s="24"/>
      <c r="AD6" s="24"/>
      <c r="AE6" s="24"/>
      <c r="AF6" s="24"/>
      <c r="AG6" s="24"/>
      <c r="AH6" s="24"/>
      <c r="AI6" s="24"/>
      <c r="AJ6" s="26"/>
      <c r="AK6" s="24"/>
      <c r="AL6" s="24"/>
      <c r="AM6" s="24"/>
      <c r="AN6" s="24">
        <v>30</v>
      </c>
      <c r="AO6" s="24"/>
      <c r="AP6" s="24">
        <v>100</v>
      </c>
      <c r="AQ6" s="24"/>
      <c r="AR6" s="24"/>
      <c r="AS6" s="24"/>
      <c r="AT6" s="11">
        <f t="shared" si="1"/>
        <v>136.36363636363635</v>
      </c>
      <c r="AU6" s="23">
        <v>150</v>
      </c>
    </row>
    <row r="7" spans="1:47" s="27" customFormat="1" x14ac:dyDescent="0.25">
      <c r="A7" s="28" t="s">
        <v>55</v>
      </c>
      <c r="B7" s="29" t="s">
        <v>50</v>
      </c>
      <c r="C7" s="30">
        <v>23919</v>
      </c>
      <c r="D7" s="23">
        <f t="shared" si="0"/>
        <v>0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/>
      <c r="S7" s="24"/>
      <c r="T7" s="24"/>
      <c r="U7" s="24"/>
      <c r="V7" s="24"/>
      <c r="W7" s="24"/>
      <c r="X7" s="24"/>
      <c r="Y7" s="24"/>
      <c r="Z7" s="24"/>
      <c r="AA7" s="14"/>
      <c r="AB7" s="24"/>
      <c r="AC7" s="24"/>
      <c r="AD7" s="24"/>
      <c r="AE7" s="24"/>
      <c r="AF7" s="24"/>
      <c r="AG7" s="24"/>
      <c r="AH7" s="24"/>
      <c r="AI7" s="24"/>
      <c r="AJ7" s="26"/>
      <c r="AK7" s="24"/>
      <c r="AL7" s="24"/>
      <c r="AM7" s="24"/>
      <c r="AN7" s="24"/>
      <c r="AO7" s="24"/>
      <c r="AP7" s="24"/>
      <c r="AQ7" s="24"/>
      <c r="AR7" s="24"/>
      <c r="AS7" s="24"/>
      <c r="AT7" s="11">
        <f t="shared" si="1"/>
        <v>81.818181818181813</v>
      </c>
      <c r="AU7" s="23">
        <v>90</v>
      </c>
    </row>
    <row r="8" spans="1:47" s="27" customFormat="1" x14ac:dyDescent="0.25">
      <c r="A8" s="20" t="s">
        <v>56</v>
      </c>
      <c r="B8" s="21" t="s">
        <v>50</v>
      </c>
      <c r="C8" s="22">
        <v>25790</v>
      </c>
      <c r="D8" s="23">
        <f t="shared" si="0"/>
        <v>220</v>
      </c>
      <c r="E8" s="24"/>
      <c r="F8" s="24"/>
      <c r="G8" s="24">
        <v>15</v>
      </c>
      <c r="H8" s="24"/>
      <c r="I8" s="24"/>
      <c r="J8" s="24"/>
      <c r="K8" s="24"/>
      <c r="L8" s="24"/>
      <c r="M8" s="24"/>
      <c r="N8" s="24"/>
      <c r="O8" s="24">
        <v>30</v>
      </c>
      <c r="P8" s="24"/>
      <c r="Q8" s="24"/>
      <c r="R8" s="25"/>
      <c r="S8" s="24"/>
      <c r="T8" s="24"/>
      <c r="U8" s="24"/>
      <c r="V8" s="24"/>
      <c r="W8" s="24"/>
      <c r="X8" s="24"/>
      <c r="Y8" s="24"/>
      <c r="Z8" s="24"/>
      <c r="AA8" s="14"/>
      <c r="AB8" s="24"/>
      <c r="AC8" s="24"/>
      <c r="AD8" s="24"/>
      <c r="AE8" s="24"/>
      <c r="AF8" s="24"/>
      <c r="AG8" s="24">
        <v>15</v>
      </c>
      <c r="AH8" s="24"/>
      <c r="AI8" s="24"/>
      <c r="AJ8" s="26">
        <v>30</v>
      </c>
      <c r="AK8" s="24"/>
      <c r="AL8" s="24"/>
      <c r="AM8" s="24"/>
      <c r="AN8" s="24"/>
      <c r="AO8" s="24"/>
      <c r="AP8" s="24"/>
      <c r="AQ8" s="24"/>
      <c r="AR8" s="24">
        <v>100</v>
      </c>
      <c r="AS8" s="24">
        <v>30</v>
      </c>
      <c r="AT8" s="11">
        <f t="shared" si="1"/>
        <v>127.27272727272727</v>
      </c>
      <c r="AU8" s="23">
        <v>140</v>
      </c>
    </row>
    <row r="9" spans="1:47" s="27" customFormat="1" x14ac:dyDescent="0.25">
      <c r="A9" s="31" t="s">
        <v>57</v>
      </c>
      <c r="B9" s="32" t="s">
        <v>50</v>
      </c>
      <c r="C9" s="33">
        <v>25315</v>
      </c>
      <c r="D9" s="23">
        <f t="shared" si="0"/>
        <v>190</v>
      </c>
      <c r="E9" s="24"/>
      <c r="F9" s="24"/>
      <c r="G9" s="24"/>
      <c r="H9" s="24">
        <v>30</v>
      </c>
      <c r="I9" s="24"/>
      <c r="J9" s="24"/>
      <c r="K9" s="24"/>
      <c r="L9" s="24"/>
      <c r="M9" s="24"/>
      <c r="N9" s="24">
        <v>30</v>
      </c>
      <c r="O9" s="24"/>
      <c r="P9" s="24"/>
      <c r="Q9" s="24"/>
      <c r="R9" s="25"/>
      <c r="S9" s="24"/>
      <c r="T9" s="24"/>
      <c r="U9" s="24"/>
      <c r="V9" s="24"/>
      <c r="W9" s="24"/>
      <c r="X9" s="24"/>
      <c r="Y9" s="24"/>
      <c r="Z9" s="24">
        <v>30</v>
      </c>
      <c r="AA9" s="14"/>
      <c r="AB9" s="24"/>
      <c r="AC9" s="24"/>
      <c r="AD9" s="24"/>
      <c r="AE9" s="24"/>
      <c r="AF9" s="24"/>
      <c r="AG9" s="24"/>
      <c r="AH9" s="24"/>
      <c r="AI9" s="24"/>
      <c r="AJ9" s="26"/>
      <c r="AK9" s="24"/>
      <c r="AL9" s="24"/>
      <c r="AM9" s="24"/>
      <c r="AN9" s="24"/>
      <c r="AO9" s="24"/>
      <c r="AP9" s="24"/>
      <c r="AQ9" s="24"/>
      <c r="AR9" s="24">
        <v>100</v>
      </c>
      <c r="AS9" s="24"/>
      <c r="AT9" s="11">
        <f t="shared" si="1"/>
        <v>118.18181818181817</v>
      </c>
      <c r="AU9" s="23">
        <v>130</v>
      </c>
    </row>
    <row r="10" spans="1:47" s="27" customFormat="1" x14ac:dyDescent="0.25">
      <c r="A10" s="20" t="s">
        <v>58</v>
      </c>
      <c r="B10" s="21" t="s">
        <v>50</v>
      </c>
      <c r="C10" s="22">
        <v>16935</v>
      </c>
      <c r="D10" s="23">
        <f t="shared" si="0"/>
        <v>375</v>
      </c>
      <c r="E10" s="24"/>
      <c r="F10" s="24"/>
      <c r="G10" s="24"/>
      <c r="H10" s="24"/>
      <c r="I10" s="24"/>
      <c r="J10" s="24"/>
      <c r="K10" s="24"/>
      <c r="L10" s="24"/>
      <c r="M10" s="24"/>
      <c r="N10" s="24">
        <v>30</v>
      </c>
      <c r="O10" s="24"/>
      <c r="P10" s="24"/>
      <c r="Q10" s="24"/>
      <c r="R10" s="25">
        <v>50</v>
      </c>
      <c r="S10" s="24"/>
      <c r="T10" s="24"/>
      <c r="U10" s="24"/>
      <c r="V10" s="24"/>
      <c r="W10" s="24"/>
      <c r="X10" s="24"/>
      <c r="Y10" s="24"/>
      <c r="Z10" s="24"/>
      <c r="AA10" s="14"/>
      <c r="AB10" s="24"/>
      <c r="AC10" s="24"/>
      <c r="AD10" s="24"/>
      <c r="AE10" s="24"/>
      <c r="AF10" s="24">
        <v>30</v>
      </c>
      <c r="AG10" s="24"/>
      <c r="AH10" s="24"/>
      <c r="AI10" s="24"/>
      <c r="AJ10" s="26"/>
      <c r="AK10" s="24"/>
      <c r="AL10" s="24">
        <v>15</v>
      </c>
      <c r="AM10" s="24"/>
      <c r="AN10" s="24"/>
      <c r="AO10" s="24"/>
      <c r="AP10" s="24">
        <v>100</v>
      </c>
      <c r="AQ10" s="24">
        <v>150</v>
      </c>
      <c r="AR10" s="24"/>
      <c r="AS10" s="24"/>
      <c r="AT10" s="11">
        <f t="shared" si="1"/>
        <v>136.36363636363635</v>
      </c>
      <c r="AU10" s="23">
        <v>150</v>
      </c>
    </row>
    <row r="11" spans="1:47" s="27" customFormat="1" x14ac:dyDescent="0.25">
      <c r="A11" s="20" t="s">
        <v>59</v>
      </c>
      <c r="B11" s="21" t="s">
        <v>50</v>
      </c>
      <c r="C11" s="22">
        <v>137387</v>
      </c>
      <c r="D11" s="23">
        <f t="shared" si="0"/>
        <v>160</v>
      </c>
      <c r="E11" s="24"/>
      <c r="F11" s="24"/>
      <c r="G11" s="24"/>
      <c r="H11" s="24"/>
      <c r="I11" s="24"/>
      <c r="J11" s="24"/>
      <c r="K11" s="24"/>
      <c r="L11" s="24">
        <v>30</v>
      </c>
      <c r="M11" s="24"/>
      <c r="N11" s="24"/>
      <c r="O11" s="24"/>
      <c r="P11" s="24"/>
      <c r="Q11" s="24"/>
      <c r="R11" s="25"/>
      <c r="S11" s="24"/>
      <c r="T11" s="24"/>
      <c r="U11" s="24"/>
      <c r="V11" s="24"/>
      <c r="W11" s="24"/>
      <c r="X11" s="24"/>
      <c r="Y11" s="24"/>
      <c r="Z11" s="24"/>
      <c r="AA11" s="14"/>
      <c r="AB11" s="24">
        <v>30</v>
      </c>
      <c r="AC11" s="24"/>
      <c r="AD11" s="24"/>
      <c r="AE11" s="24"/>
      <c r="AF11" s="24"/>
      <c r="AG11" s="24"/>
      <c r="AH11" s="24"/>
      <c r="AI11" s="24"/>
      <c r="AJ11" s="26"/>
      <c r="AK11" s="24"/>
      <c r="AL11" s="24"/>
      <c r="AM11" s="24"/>
      <c r="AN11" s="24"/>
      <c r="AO11" s="24"/>
      <c r="AP11" s="24">
        <v>100</v>
      </c>
      <c r="AQ11" s="24"/>
      <c r="AR11" s="24"/>
      <c r="AS11" s="24"/>
      <c r="AT11" s="11">
        <f t="shared" si="1"/>
        <v>136.36363636363635</v>
      </c>
      <c r="AU11" s="23">
        <v>150</v>
      </c>
    </row>
    <row r="12" spans="1:47" s="27" customFormat="1" x14ac:dyDescent="0.25">
      <c r="A12" s="34" t="s">
        <v>60</v>
      </c>
      <c r="B12" s="35" t="s">
        <v>61</v>
      </c>
      <c r="C12" s="36">
        <v>10465</v>
      </c>
      <c r="D12" s="23">
        <f t="shared" si="0"/>
        <v>210</v>
      </c>
      <c r="E12" s="24"/>
      <c r="F12" s="24">
        <v>20</v>
      </c>
      <c r="G12" s="24"/>
      <c r="H12" s="24"/>
      <c r="I12" s="24"/>
      <c r="J12" s="24">
        <v>20</v>
      </c>
      <c r="K12" s="24"/>
      <c r="L12" s="24"/>
      <c r="M12" s="24"/>
      <c r="N12" s="24"/>
      <c r="O12" s="24"/>
      <c r="P12" s="24"/>
      <c r="Q12" s="24"/>
      <c r="R12" s="25"/>
      <c r="S12" s="24"/>
      <c r="T12" s="24"/>
      <c r="U12" s="24"/>
      <c r="V12" s="24"/>
      <c r="W12" s="24">
        <v>30</v>
      </c>
      <c r="X12" s="24"/>
      <c r="Y12" s="24"/>
      <c r="Z12" s="24"/>
      <c r="AA12" s="14"/>
      <c r="AB12" s="24">
        <v>30</v>
      </c>
      <c r="AC12" s="24"/>
      <c r="AD12" s="24"/>
      <c r="AE12" s="24"/>
      <c r="AF12" s="24"/>
      <c r="AG12" s="24"/>
      <c r="AH12" s="24"/>
      <c r="AI12" s="24"/>
      <c r="AJ12" s="26"/>
      <c r="AK12" s="24"/>
      <c r="AL12" s="24"/>
      <c r="AM12" s="24"/>
      <c r="AN12" s="24"/>
      <c r="AO12" s="24">
        <v>40</v>
      </c>
      <c r="AP12" s="24">
        <v>60</v>
      </c>
      <c r="AQ12" s="24"/>
      <c r="AR12" s="24"/>
      <c r="AS12" s="24">
        <v>10</v>
      </c>
      <c r="AT12" s="11">
        <f t="shared" si="1"/>
        <v>263.63636363636363</v>
      </c>
      <c r="AU12" s="23">
        <v>290</v>
      </c>
    </row>
    <row r="13" spans="1:47" s="27" customFormat="1" x14ac:dyDescent="0.25">
      <c r="A13" s="34" t="s">
        <v>62</v>
      </c>
      <c r="B13" s="35" t="s">
        <v>61</v>
      </c>
      <c r="C13" s="36">
        <v>334812</v>
      </c>
      <c r="D13" s="23">
        <f t="shared" si="0"/>
        <v>30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5">
        <v>30</v>
      </c>
      <c r="S13" s="24"/>
      <c r="T13" s="24"/>
      <c r="U13" s="24"/>
      <c r="V13" s="24"/>
      <c r="W13" s="24"/>
      <c r="X13" s="24"/>
      <c r="Y13" s="24"/>
      <c r="Z13" s="24"/>
      <c r="AA13" s="14"/>
      <c r="AB13" s="24"/>
      <c r="AC13" s="24"/>
      <c r="AD13" s="24"/>
      <c r="AE13" s="24"/>
      <c r="AF13" s="24"/>
      <c r="AG13" s="24"/>
      <c r="AH13" s="24"/>
      <c r="AI13" s="24"/>
      <c r="AJ13" s="26"/>
      <c r="AK13" s="24"/>
      <c r="AL13" s="24"/>
      <c r="AM13" s="24"/>
      <c r="AN13" s="24"/>
      <c r="AO13" s="24"/>
      <c r="AP13" s="24"/>
      <c r="AQ13" s="24"/>
      <c r="AR13" s="24"/>
      <c r="AS13" s="24"/>
      <c r="AT13" s="11">
        <f t="shared" si="1"/>
        <v>245.45454545454544</v>
      </c>
      <c r="AU13" s="23">
        <v>270</v>
      </c>
    </row>
    <row r="14" spans="1:47" s="27" customFormat="1" x14ac:dyDescent="0.25">
      <c r="A14" s="37" t="s">
        <v>64</v>
      </c>
      <c r="B14" s="35" t="s">
        <v>61</v>
      </c>
      <c r="C14" s="38">
        <v>13677</v>
      </c>
      <c r="D14" s="23">
        <f t="shared" si="0"/>
        <v>210</v>
      </c>
      <c r="E14" s="24"/>
      <c r="F14" s="24"/>
      <c r="G14" s="24"/>
      <c r="H14" s="24">
        <v>20</v>
      </c>
      <c r="I14" s="24"/>
      <c r="J14" s="24"/>
      <c r="K14" s="24"/>
      <c r="L14" s="24"/>
      <c r="M14" s="24"/>
      <c r="N14" s="24"/>
      <c r="O14" s="24"/>
      <c r="P14" s="24"/>
      <c r="Q14" s="24"/>
      <c r="R14" s="25">
        <v>50</v>
      </c>
      <c r="S14" s="24">
        <v>10</v>
      </c>
      <c r="T14" s="24"/>
      <c r="U14" s="24"/>
      <c r="V14" s="24"/>
      <c r="W14" s="24"/>
      <c r="X14" s="24">
        <v>10</v>
      </c>
      <c r="Y14" s="24"/>
      <c r="Z14" s="24"/>
      <c r="AA14" s="14"/>
      <c r="AB14" s="24"/>
      <c r="AC14" s="24"/>
      <c r="AD14" s="24"/>
      <c r="AE14" s="24"/>
      <c r="AF14" s="24"/>
      <c r="AG14" s="24"/>
      <c r="AH14" s="24"/>
      <c r="AI14" s="24"/>
      <c r="AJ14" s="26"/>
      <c r="AK14" s="24"/>
      <c r="AL14" s="24"/>
      <c r="AM14" s="24"/>
      <c r="AN14" s="24"/>
      <c r="AO14" s="24"/>
      <c r="AP14" s="24"/>
      <c r="AQ14" s="24"/>
      <c r="AR14" s="24">
        <v>100</v>
      </c>
      <c r="AS14" s="24">
        <v>20</v>
      </c>
      <c r="AT14" s="11">
        <f t="shared" si="1"/>
        <v>90.909090909090907</v>
      </c>
      <c r="AU14" s="23">
        <v>100</v>
      </c>
    </row>
    <row r="15" spans="1:47" s="27" customFormat="1" x14ac:dyDescent="0.25">
      <c r="A15" s="20" t="s">
        <v>65</v>
      </c>
      <c r="B15" s="35" t="s">
        <v>61</v>
      </c>
      <c r="C15" s="39">
        <v>11792</v>
      </c>
      <c r="D15" s="23">
        <f t="shared" si="0"/>
        <v>0</v>
      </c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5"/>
      <c r="S15" s="24"/>
      <c r="T15" s="24"/>
      <c r="U15" s="24"/>
      <c r="V15" s="24"/>
      <c r="W15" s="24"/>
      <c r="X15" s="24"/>
      <c r="Y15" s="24"/>
      <c r="Z15" s="24"/>
      <c r="AA15" s="14"/>
      <c r="AB15" s="24"/>
      <c r="AC15" s="24"/>
      <c r="AD15" s="24"/>
      <c r="AE15" s="24"/>
      <c r="AF15" s="24"/>
      <c r="AG15" s="24"/>
      <c r="AH15" s="24"/>
      <c r="AI15" s="24"/>
      <c r="AJ15" s="26"/>
      <c r="AK15" s="24"/>
      <c r="AL15" s="24"/>
      <c r="AM15" s="24"/>
      <c r="AN15" s="24"/>
      <c r="AO15" s="24"/>
      <c r="AP15" s="24"/>
      <c r="AQ15" s="24"/>
      <c r="AR15" s="24"/>
      <c r="AS15" s="24"/>
      <c r="AT15" s="11">
        <f t="shared" ref="AT15:AT27" si="2">AU15/1.1</f>
        <v>109.09090909090908</v>
      </c>
      <c r="AU15" s="23">
        <v>120</v>
      </c>
    </row>
    <row r="16" spans="1:47" s="27" customFormat="1" x14ac:dyDescent="0.25">
      <c r="A16" s="20" t="s">
        <v>109</v>
      </c>
      <c r="B16" s="21" t="s">
        <v>48</v>
      </c>
      <c r="C16" s="39">
        <v>4544</v>
      </c>
      <c r="D16" s="23">
        <f t="shared" si="0"/>
        <v>100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5"/>
      <c r="S16" s="24"/>
      <c r="T16" s="24"/>
      <c r="U16" s="24"/>
      <c r="V16" s="24"/>
      <c r="W16" s="24"/>
      <c r="X16" s="24"/>
      <c r="Y16" s="24"/>
      <c r="Z16" s="24"/>
      <c r="AA16" s="14"/>
      <c r="AB16" s="24"/>
      <c r="AC16" s="24"/>
      <c r="AD16" s="24"/>
      <c r="AE16" s="24"/>
      <c r="AF16" s="24"/>
      <c r="AG16" s="24"/>
      <c r="AH16" s="24"/>
      <c r="AI16" s="24"/>
      <c r="AJ16" s="26"/>
      <c r="AK16" s="24"/>
      <c r="AL16" s="24"/>
      <c r="AM16" s="24"/>
      <c r="AN16" s="24"/>
      <c r="AO16" s="24">
        <v>70</v>
      </c>
      <c r="AP16" s="24"/>
      <c r="AQ16" s="24">
        <v>10</v>
      </c>
      <c r="AR16" s="24">
        <v>20</v>
      </c>
      <c r="AS16" s="24"/>
      <c r="AT16" s="11">
        <f t="shared" si="2"/>
        <v>409.09090909090907</v>
      </c>
      <c r="AU16" s="23">
        <v>450</v>
      </c>
    </row>
    <row r="17" spans="1:47" s="27" customFormat="1" x14ac:dyDescent="0.25">
      <c r="A17" s="20" t="s">
        <v>67</v>
      </c>
      <c r="B17" s="21" t="s">
        <v>68</v>
      </c>
      <c r="C17" s="22">
        <v>8483</v>
      </c>
      <c r="D17" s="23">
        <f t="shared" si="0"/>
        <v>349</v>
      </c>
      <c r="E17" s="24"/>
      <c r="F17" s="24"/>
      <c r="G17" s="24"/>
      <c r="H17" s="24">
        <v>8</v>
      </c>
      <c r="I17" s="24">
        <v>6</v>
      </c>
      <c r="J17" s="24"/>
      <c r="K17" s="24">
        <v>5</v>
      </c>
      <c r="L17" s="24">
        <v>5</v>
      </c>
      <c r="M17" s="24">
        <v>6</v>
      </c>
      <c r="N17" s="24">
        <v>8</v>
      </c>
      <c r="O17" s="24"/>
      <c r="P17" s="24">
        <v>5</v>
      </c>
      <c r="Q17" s="24">
        <v>16</v>
      </c>
      <c r="R17" s="25">
        <v>32</v>
      </c>
      <c r="S17" s="24">
        <v>8</v>
      </c>
      <c r="T17" s="24">
        <v>5</v>
      </c>
      <c r="U17" s="24"/>
      <c r="V17" s="24">
        <v>4</v>
      </c>
      <c r="W17" s="24"/>
      <c r="X17" s="24">
        <v>6</v>
      </c>
      <c r="Y17" s="24"/>
      <c r="Z17" s="24">
        <v>8</v>
      </c>
      <c r="AA17" s="14"/>
      <c r="AB17" s="24">
        <v>5</v>
      </c>
      <c r="AC17" s="24"/>
      <c r="AD17" s="24">
        <v>9</v>
      </c>
      <c r="AE17" s="24">
        <v>8</v>
      </c>
      <c r="AF17" s="24"/>
      <c r="AG17" s="24"/>
      <c r="AH17" s="24">
        <v>6</v>
      </c>
      <c r="AI17" s="24"/>
      <c r="AJ17" s="26">
        <v>5</v>
      </c>
      <c r="AK17" s="24">
        <v>8</v>
      </c>
      <c r="AL17" s="24"/>
      <c r="AM17" s="24">
        <v>16</v>
      </c>
      <c r="AN17" s="24">
        <v>10</v>
      </c>
      <c r="AO17" s="24"/>
      <c r="AP17" s="24">
        <v>60</v>
      </c>
      <c r="AQ17" s="24"/>
      <c r="AR17" s="24">
        <v>100</v>
      </c>
      <c r="AS17" s="24"/>
      <c r="AT17" s="11">
        <f t="shared" si="2"/>
        <v>118.18181818181817</v>
      </c>
      <c r="AU17" s="23">
        <v>130</v>
      </c>
    </row>
    <row r="18" spans="1:47" s="27" customFormat="1" ht="14.25" customHeight="1" x14ac:dyDescent="0.25">
      <c r="A18" s="20" t="s">
        <v>69</v>
      </c>
      <c r="B18" s="21" t="s">
        <v>63</v>
      </c>
      <c r="C18" s="39">
        <v>71640</v>
      </c>
      <c r="D18" s="23">
        <f t="shared" si="0"/>
        <v>25</v>
      </c>
      <c r="E18" s="24"/>
      <c r="F18" s="24"/>
      <c r="G18" s="24"/>
      <c r="H18" s="24">
        <v>3</v>
      </c>
      <c r="I18" s="24"/>
      <c r="J18" s="24"/>
      <c r="K18" s="24"/>
      <c r="L18" s="24"/>
      <c r="M18" s="24"/>
      <c r="N18" s="24"/>
      <c r="O18" s="24"/>
      <c r="P18" s="24"/>
      <c r="Q18" s="24"/>
      <c r="R18" s="25"/>
      <c r="S18" s="24"/>
      <c r="T18" s="24"/>
      <c r="U18" s="24"/>
      <c r="V18" s="24"/>
      <c r="W18" s="24"/>
      <c r="X18" s="24"/>
      <c r="Y18" s="24"/>
      <c r="Z18" s="24"/>
      <c r="AA18" s="14"/>
      <c r="AB18" s="24"/>
      <c r="AC18" s="24"/>
      <c r="AD18" s="24"/>
      <c r="AE18" s="24"/>
      <c r="AF18" s="24"/>
      <c r="AG18" s="24">
        <v>2</v>
      </c>
      <c r="AH18" s="24"/>
      <c r="AI18" s="24"/>
      <c r="AJ18" s="26"/>
      <c r="AK18" s="24"/>
      <c r="AL18" s="24"/>
      <c r="AM18" s="24"/>
      <c r="AN18" s="24"/>
      <c r="AO18" s="24"/>
      <c r="AP18" s="24">
        <v>10</v>
      </c>
      <c r="AQ18" s="24"/>
      <c r="AR18" s="24">
        <v>10</v>
      </c>
      <c r="AS18" s="24"/>
      <c r="AT18" s="11">
        <f t="shared" si="2"/>
        <v>199.99999999999997</v>
      </c>
      <c r="AU18" s="23">
        <v>220</v>
      </c>
    </row>
    <row r="19" spans="1:47" s="27" customFormat="1" x14ac:dyDescent="0.25">
      <c r="A19" s="20" t="s">
        <v>70</v>
      </c>
      <c r="B19" s="21" t="s">
        <v>71</v>
      </c>
      <c r="C19" s="22">
        <v>40552</v>
      </c>
      <c r="D19" s="23">
        <f t="shared" si="0"/>
        <v>31</v>
      </c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5">
        <v>2</v>
      </c>
      <c r="S19" s="24"/>
      <c r="T19" s="24"/>
      <c r="U19" s="24"/>
      <c r="V19" s="24"/>
      <c r="W19" s="24"/>
      <c r="X19" s="24"/>
      <c r="Y19" s="24"/>
      <c r="Z19" s="24"/>
      <c r="AA19" s="14">
        <v>5</v>
      </c>
      <c r="AB19" s="24"/>
      <c r="AC19" s="24"/>
      <c r="AD19" s="24"/>
      <c r="AE19" s="24"/>
      <c r="AF19" s="24"/>
      <c r="AG19" s="24"/>
      <c r="AH19" s="24"/>
      <c r="AI19" s="24"/>
      <c r="AJ19" s="26">
        <v>1</v>
      </c>
      <c r="AK19" s="24"/>
      <c r="AL19" s="24"/>
      <c r="AM19" s="24"/>
      <c r="AN19" s="24"/>
      <c r="AO19" s="24">
        <v>6</v>
      </c>
      <c r="AP19" s="24">
        <v>6</v>
      </c>
      <c r="AQ19" s="24">
        <v>6</v>
      </c>
      <c r="AR19" s="24">
        <v>5</v>
      </c>
      <c r="AS19" s="24"/>
      <c r="AT19" s="11">
        <f t="shared" si="2"/>
        <v>454.5454545454545</v>
      </c>
      <c r="AU19" s="23">
        <v>500</v>
      </c>
    </row>
    <row r="20" spans="1:47" s="27" customFormat="1" x14ac:dyDescent="0.25">
      <c r="A20" s="20" t="s">
        <v>73</v>
      </c>
      <c r="B20" s="21" t="s">
        <v>66</v>
      </c>
      <c r="C20" s="22">
        <v>8504</v>
      </c>
      <c r="D20" s="23">
        <f t="shared" si="0"/>
        <v>33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5">
        <v>3</v>
      </c>
      <c r="S20" s="24"/>
      <c r="T20" s="24"/>
      <c r="U20" s="24"/>
      <c r="V20" s="24"/>
      <c r="W20" s="24"/>
      <c r="X20" s="24"/>
      <c r="Y20" s="24"/>
      <c r="Z20" s="24"/>
      <c r="AA20" s="14"/>
      <c r="AB20" s="24"/>
      <c r="AC20" s="24"/>
      <c r="AD20" s="24"/>
      <c r="AE20" s="24"/>
      <c r="AF20" s="24"/>
      <c r="AG20" s="24"/>
      <c r="AH20" s="24"/>
      <c r="AI20" s="24"/>
      <c r="AJ20" s="26"/>
      <c r="AK20" s="24"/>
      <c r="AL20" s="24"/>
      <c r="AM20" s="24"/>
      <c r="AN20" s="24"/>
      <c r="AO20" s="24">
        <v>10</v>
      </c>
      <c r="AP20" s="24">
        <v>10</v>
      </c>
      <c r="AQ20" s="24">
        <v>5</v>
      </c>
      <c r="AR20" s="24">
        <v>5</v>
      </c>
      <c r="AS20" s="24"/>
      <c r="AT20" s="11">
        <f t="shared" si="2"/>
        <v>427.27272727272725</v>
      </c>
      <c r="AU20" s="23">
        <v>470</v>
      </c>
    </row>
    <row r="21" spans="1:47" s="27" customFormat="1" x14ac:dyDescent="0.25">
      <c r="A21" s="20" t="s">
        <v>110</v>
      </c>
      <c r="B21" s="21" t="s">
        <v>48</v>
      </c>
      <c r="C21" s="22">
        <v>15299</v>
      </c>
      <c r="D21" s="23">
        <f t="shared" si="0"/>
        <v>120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5">
        <v>20</v>
      </c>
      <c r="S21" s="24"/>
      <c r="T21" s="24"/>
      <c r="U21" s="24"/>
      <c r="V21" s="24"/>
      <c r="W21" s="24"/>
      <c r="X21" s="24"/>
      <c r="Y21" s="24"/>
      <c r="Z21" s="24"/>
      <c r="AA21" s="14"/>
      <c r="AB21" s="24"/>
      <c r="AC21" s="24"/>
      <c r="AD21" s="24"/>
      <c r="AE21" s="24"/>
      <c r="AF21" s="24"/>
      <c r="AG21" s="24"/>
      <c r="AH21" s="24"/>
      <c r="AI21" s="24"/>
      <c r="AJ21" s="26"/>
      <c r="AK21" s="24"/>
      <c r="AL21" s="24"/>
      <c r="AM21" s="24"/>
      <c r="AN21" s="24"/>
      <c r="AO21" s="24"/>
      <c r="AP21" s="24">
        <v>50</v>
      </c>
      <c r="AQ21" s="24"/>
      <c r="AR21" s="24">
        <v>50</v>
      </c>
      <c r="AS21" s="24"/>
      <c r="AT21" s="11">
        <f t="shared" si="2"/>
        <v>272.72727272727269</v>
      </c>
      <c r="AU21" s="23">
        <v>300</v>
      </c>
    </row>
    <row r="22" spans="1:47" s="27" customFormat="1" x14ac:dyDescent="0.25">
      <c r="A22" s="20" t="s">
        <v>74</v>
      </c>
      <c r="B22" s="21" t="s">
        <v>48</v>
      </c>
      <c r="C22" s="22">
        <v>15438</v>
      </c>
      <c r="D22" s="23">
        <f t="shared" si="0"/>
        <v>60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>
        <v>20</v>
      </c>
      <c r="P22" s="24"/>
      <c r="Q22" s="24"/>
      <c r="R22" s="25"/>
      <c r="S22" s="24"/>
      <c r="T22" s="24"/>
      <c r="U22" s="24"/>
      <c r="V22" s="24"/>
      <c r="W22" s="24"/>
      <c r="X22" s="24"/>
      <c r="Y22" s="24"/>
      <c r="Z22" s="24"/>
      <c r="AA22" s="14"/>
      <c r="AB22" s="24"/>
      <c r="AC22" s="24"/>
      <c r="AD22" s="24"/>
      <c r="AE22" s="24"/>
      <c r="AF22" s="24"/>
      <c r="AG22" s="24"/>
      <c r="AH22" s="24"/>
      <c r="AI22" s="24"/>
      <c r="AJ22" s="26"/>
      <c r="AK22" s="24"/>
      <c r="AL22" s="24"/>
      <c r="AM22" s="24"/>
      <c r="AN22" s="24"/>
      <c r="AO22" s="24">
        <v>40</v>
      </c>
      <c r="AP22" s="24"/>
      <c r="AQ22" s="24"/>
      <c r="AR22" s="24"/>
      <c r="AS22" s="24"/>
      <c r="AT22" s="11">
        <f t="shared" si="2"/>
        <v>272.72727272727269</v>
      </c>
      <c r="AU22" s="23">
        <v>300</v>
      </c>
    </row>
    <row r="23" spans="1:47" s="27" customFormat="1" x14ac:dyDescent="0.25">
      <c r="A23" s="20" t="s">
        <v>75</v>
      </c>
      <c r="B23" s="21" t="s">
        <v>48</v>
      </c>
      <c r="C23" s="22">
        <v>15606</v>
      </c>
      <c r="D23" s="23">
        <f t="shared" si="0"/>
        <v>20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5"/>
      <c r="S23" s="24"/>
      <c r="T23" s="24"/>
      <c r="U23" s="24"/>
      <c r="V23" s="24"/>
      <c r="W23" s="24"/>
      <c r="X23" s="24"/>
      <c r="Y23" s="24"/>
      <c r="Z23" s="24"/>
      <c r="AA23" s="14"/>
      <c r="AB23" s="24"/>
      <c r="AC23" s="24"/>
      <c r="AD23" s="24"/>
      <c r="AE23" s="24"/>
      <c r="AF23" s="24"/>
      <c r="AG23" s="24"/>
      <c r="AH23" s="24"/>
      <c r="AI23" s="24"/>
      <c r="AJ23" s="26"/>
      <c r="AK23" s="24"/>
      <c r="AL23" s="24"/>
      <c r="AM23" s="24">
        <v>10</v>
      </c>
      <c r="AN23" s="24"/>
      <c r="AO23" s="24"/>
      <c r="AP23" s="24"/>
      <c r="AQ23" s="24"/>
      <c r="AR23" s="24"/>
      <c r="AS23" s="24">
        <v>10</v>
      </c>
      <c r="AT23" s="11">
        <f t="shared" si="2"/>
        <v>263.63636363636363</v>
      </c>
      <c r="AU23" s="23">
        <v>290</v>
      </c>
    </row>
    <row r="24" spans="1:47" s="27" customFormat="1" x14ac:dyDescent="0.25">
      <c r="A24" s="20" t="s">
        <v>76</v>
      </c>
      <c r="B24" s="21" t="s">
        <v>48</v>
      </c>
      <c r="C24" s="22">
        <v>23321</v>
      </c>
      <c r="D24" s="23">
        <f t="shared" si="0"/>
        <v>50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>
        <v>20</v>
      </c>
      <c r="P24" s="24"/>
      <c r="Q24" s="24"/>
      <c r="R24" s="25"/>
      <c r="S24" s="24"/>
      <c r="T24" s="24"/>
      <c r="U24" s="24"/>
      <c r="V24" s="24"/>
      <c r="W24" s="24">
        <v>20</v>
      </c>
      <c r="X24" s="24">
        <v>10</v>
      </c>
      <c r="Y24" s="24"/>
      <c r="Z24" s="24"/>
      <c r="AA24" s="14"/>
      <c r="AB24" s="24"/>
      <c r="AC24" s="24"/>
      <c r="AD24" s="24"/>
      <c r="AE24" s="24"/>
      <c r="AF24" s="24"/>
      <c r="AG24" s="24"/>
      <c r="AH24" s="24"/>
      <c r="AI24" s="24"/>
      <c r="AJ24" s="26"/>
      <c r="AK24" s="24"/>
      <c r="AL24" s="24"/>
      <c r="AM24" s="24"/>
      <c r="AN24" s="24"/>
      <c r="AO24" s="24"/>
      <c r="AP24" s="24"/>
      <c r="AQ24" s="24"/>
      <c r="AR24" s="24"/>
      <c r="AS24" s="24"/>
      <c r="AT24" s="11">
        <f t="shared" si="2"/>
        <v>227.27272727272725</v>
      </c>
      <c r="AU24" s="23">
        <v>250</v>
      </c>
    </row>
    <row r="25" spans="1:47" s="27" customFormat="1" x14ac:dyDescent="0.25">
      <c r="A25" s="20" t="s">
        <v>77</v>
      </c>
      <c r="B25" s="21" t="s">
        <v>48</v>
      </c>
      <c r="C25" s="39">
        <v>342393</v>
      </c>
      <c r="D25" s="23">
        <f t="shared" si="0"/>
        <v>30</v>
      </c>
      <c r="E25" s="24"/>
      <c r="F25" s="24"/>
      <c r="G25" s="24"/>
      <c r="H25" s="24"/>
      <c r="I25" s="24"/>
      <c r="J25" s="24">
        <v>10</v>
      </c>
      <c r="K25" s="24"/>
      <c r="L25" s="24"/>
      <c r="M25" s="24"/>
      <c r="N25" s="24"/>
      <c r="O25" s="24"/>
      <c r="P25" s="24"/>
      <c r="Q25" s="24"/>
      <c r="R25" s="25">
        <v>20</v>
      </c>
      <c r="S25" s="24"/>
      <c r="T25" s="24"/>
      <c r="U25" s="24"/>
      <c r="V25" s="24"/>
      <c r="W25" s="24"/>
      <c r="X25" s="24"/>
      <c r="Y25" s="24"/>
      <c r="Z25" s="24"/>
      <c r="AA25" s="14"/>
      <c r="AB25" s="24"/>
      <c r="AC25" s="24"/>
      <c r="AD25" s="24"/>
      <c r="AE25" s="24"/>
      <c r="AF25" s="24"/>
      <c r="AG25" s="24"/>
      <c r="AH25" s="24"/>
      <c r="AI25" s="24"/>
      <c r="AJ25" s="26"/>
      <c r="AK25" s="24"/>
      <c r="AL25" s="24"/>
      <c r="AM25" s="24"/>
      <c r="AN25" s="24"/>
      <c r="AO25" s="24"/>
      <c r="AP25" s="24"/>
      <c r="AQ25" s="24"/>
      <c r="AR25" s="24"/>
      <c r="AS25" s="24"/>
      <c r="AT25" s="11">
        <f t="shared" si="2"/>
        <v>272.72727272727269</v>
      </c>
      <c r="AU25" s="23">
        <v>300</v>
      </c>
    </row>
    <row r="26" spans="1:47" s="27" customFormat="1" x14ac:dyDescent="0.25">
      <c r="A26" s="20" t="s">
        <v>78</v>
      </c>
      <c r="B26" s="21" t="s">
        <v>48</v>
      </c>
      <c r="C26" s="22">
        <v>38731</v>
      </c>
      <c r="D26" s="23">
        <f t="shared" si="0"/>
        <v>10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5"/>
      <c r="S26" s="24"/>
      <c r="T26" s="24"/>
      <c r="U26" s="24"/>
      <c r="V26" s="24"/>
      <c r="W26" s="24"/>
      <c r="X26" s="24"/>
      <c r="Y26" s="24">
        <v>10</v>
      </c>
      <c r="Z26" s="24"/>
      <c r="AA26" s="14"/>
      <c r="AB26" s="24"/>
      <c r="AC26" s="24"/>
      <c r="AD26" s="24"/>
      <c r="AE26" s="24"/>
      <c r="AF26" s="24"/>
      <c r="AG26" s="24"/>
      <c r="AH26" s="24"/>
      <c r="AI26" s="24"/>
      <c r="AJ26" s="26"/>
      <c r="AK26" s="24"/>
      <c r="AL26" s="24"/>
      <c r="AM26" s="24"/>
      <c r="AN26" s="24"/>
      <c r="AO26" s="24"/>
      <c r="AP26" s="24"/>
      <c r="AQ26" s="24"/>
      <c r="AR26" s="24"/>
      <c r="AS26" s="24"/>
      <c r="AT26" s="11">
        <f t="shared" si="2"/>
        <v>318.18181818181813</v>
      </c>
      <c r="AU26" s="23">
        <v>350</v>
      </c>
    </row>
    <row r="27" spans="1:47" s="27" customFormat="1" x14ac:dyDescent="0.25">
      <c r="A27" s="20" t="s">
        <v>79</v>
      </c>
      <c r="B27" s="21" t="s">
        <v>48</v>
      </c>
      <c r="C27" s="22">
        <v>8485</v>
      </c>
      <c r="D27" s="23">
        <f t="shared" si="0"/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5"/>
      <c r="S27" s="24"/>
      <c r="T27" s="24"/>
      <c r="U27" s="24"/>
      <c r="V27" s="24"/>
      <c r="W27" s="24"/>
      <c r="X27" s="24"/>
      <c r="Y27" s="24"/>
      <c r="Z27" s="24"/>
      <c r="AA27" s="14"/>
      <c r="AB27" s="24"/>
      <c r="AC27" s="24"/>
      <c r="AD27" s="24"/>
      <c r="AE27" s="24"/>
      <c r="AF27" s="24"/>
      <c r="AG27" s="24"/>
      <c r="AH27" s="24"/>
      <c r="AI27" s="24"/>
      <c r="AJ27" s="26"/>
      <c r="AK27" s="24"/>
      <c r="AL27" s="24"/>
      <c r="AM27" s="24"/>
      <c r="AN27" s="24"/>
      <c r="AO27" s="24"/>
      <c r="AP27" s="24"/>
      <c r="AQ27" s="24"/>
      <c r="AR27" s="24"/>
      <c r="AS27" s="24"/>
      <c r="AT27" s="11">
        <f t="shared" si="2"/>
        <v>136.36363636363635</v>
      </c>
      <c r="AU27" s="23">
        <v>150</v>
      </c>
    </row>
    <row r="28" spans="1:47" s="27" customFormat="1" x14ac:dyDescent="0.25">
      <c r="A28" s="20" t="s">
        <v>80</v>
      </c>
      <c r="B28" s="21" t="s">
        <v>48</v>
      </c>
      <c r="C28" s="22">
        <v>38394</v>
      </c>
      <c r="D28" s="23">
        <f t="shared" si="0"/>
        <v>60</v>
      </c>
      <c r="E28" s="24"/>
      <c r="F28" s="24"/>
      <c r="G28" s="24"/>
      <c r="H28" s="24"/>
      <c r="I28" s="24"/>
      <c r="J28" s="24">
        <v>20</v>
      </c>
      <c r="K28" s="24"/>
      <c r="L28" s="24"/>
      <c r="M28" s="24">
        <v>10</v>
      </c>
      <c r="N28" s="24"/>
      <c r="O28" s="24"/>
      <c r="P28" s="24"/>
      <c r="Q28" s="24"/>
      <c r="R28" s="25"/>
      <c r="S28" s="24"/>
      <c r="T28" s="24"/>
      <c r="U28" s="24"/>
      <c r="V28" s="24"/>
      <c r="W28" s="24"/>
      <c r="X28" s="24"/>
      <c r="Y28" s="24"/>
      <c r="Z28" s="24"/>
      <c r="AA28" s="14"/>
      <c r="AB28" s="24"/>
      <c r="AC28" s="24"/>
      <c r="AD28" s="24"/>
      <c r="AE28" s="24"/>
      <c r="AF28" s="24"/>
      <c r="AG28" s="24"/>
      <c r="AH28" s="24"/>
      <c r="AI28" s="24"/>
      <c r="AJ28" s="26"/>
      <c r="AK28" s="24"/>
      <c r="AL28" s="24"/>
      <c r="AM28" s="24"/>
      <c r="AN28" s="24"/>
      <c r="AO28" s="24"/>
      <c r="AP28" s="24"/>
      <c r="AQ28" s="24"/>
      <c r="AR28" s="24">
        <v>30</v>
      </c>
      <c r="AS28" s="24"/>
      <c r="AT28" s="11">
        <f t="shared" ref="AT28:AT42" si="3">AU28/1.1</f>
        <v>136.36363636363635</v>
      </c>
      <c r="AU28" s="23">
        <v>150</v>
      </c>
    </row>
    <row r="29" spans="1:47" s="27" customFormat="1" x14ac:dyDescent="0.25">
      <c r="A29" s="20" t="s">
        <v>81</v>
      </c>
      <c r="B29" s="21" t="s">
        <v>48</v>
      </c>
      <c r="C29" s="22">
        <v>55428</v>
      </c>
      <c r="D29" s="23">
        <f t="shared" si="0"/>
        <v>0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5"/>
      <c r="S29" s="24"/>
      <c r="T29" s="24"/>
      <c r="U29" s="24"/>
      <c r="V29" s="24"/>
      <c r="W29" s="24"/>
      <c r="X29" s="24"/>
      <c r="Y29" s="24"/>
      <c r="Z29" s="24"/>
      <c r="AA29" s="14"/>
      <c r="AB29" s="24"/>
      <c r="AC29" s="24"/>
      <c r="AD29" s="24"/>
      <c r="AE29" s="24"/>
      <c r="AF29" s="24"/>
      <c r="AG29" s="24"/>
      <c r="AH29" s="24"/>
      <c r="AI29" s="24"/>
      <c r="AJ29" s="26"/>
      <c r="AK29" s="24"/>
      <c r="AL29" s="24"/>
      <c r="AM29" s="24"/>
      <c r="AN29" s="24"/>
      <c r="AO29" s="24"/>
      <c r="AP29" s="24"/>
      <c r="AQ29" s="24"/>
      <c r="AR29" s="24"/>
      <c r="AS29" s="24"/>
      <c r="AT29" s="11">
        <f t="shared" si="3"/>
        <v>263.63636363636363</v>
      </c>
      <c r="AU29" s="23">
        <v>290</v>
      </c>
    </row>
    <row r="30" spans="1:47" s="27" customFormat="1" x14ac:dyDescent="0.25">
      <c r="A30" s="40" t="s">
        <v>82</v>
      </c>
      <c r="B30" s="41" t="s">
        <v>48</v>
      </c>
      <c r="C30" s="42">
        <v>81578</v>
      </c>
      <c r="D30" s="23">
        <f t="shared" si="0"/>
        <v>35</v>
      </c>
      <c r="E30" s="24"/>
      <c r="F30" s="24"/>
      <c r="G30" s="24"/>
      <c r="H30" s="24"/>
      <c r="I30" s="24"/>
      <c r="J30" s="24"/>
      <c r="K30" s="24"/>
      <c r="L30" s="24"/>
      <c r="M30" s="24"/>
      <c r="N30" s="24">
        <v>5</v>
      </c>
      <c r="O30" s="24"/>
      <c r="P30" s="24"/>
      <c r="Q30" s="24"/>
      <c r="R30" s="25"/>
      <c r="S30" s="24"/>
      <c r="T30" s="24"/>
      <c r="U30" s="24"/>
      <c r="V30" s="24"/>
      <c r="W30" s="24"/>
      <c r="X30" s="24"/>
      <c r="Y30" s="24"/>
      <c r="Z30" s="24"/>
      <c r="AA30" s="14"/>
      <c r="AB30" s="24"/>
      <c r="AC30" s="24"/>
      <c r="AD30" s="24"/>
      <c r="AE30" s="24"/>
      <c r="AF30" s="24"/>
      <c r="AG30" s="24"/>
      <c r="AH30" s="24"/>
      <c r="AI30" s="24"/>
      <c r="AJ30" s="26"/>
      <c r="AK30" s="24"/>
      <c r="AL30" s="24"/>
      <c r="AM30" s="24"/>
      <c r="AN30" s="24"/>
      <c r="AO30" s="24"/>
      <c r="AP30" s="24">
        <v>10</v>
      </c>
      <c r="AQ30" s="24"/>
      <c r="AR30" s="24">
        <v>20</v>
      </c>
      <c r="AS30" s="24"/>
      <c r="AT30" s="11">
        <f t="shared" si="3"/>
        <v>227.27272727272725</v>
      </c>
      <c r="AU30" s="23">
        <v>250</v>
      </c>
    </row>
    <row r="31" spans="1:47" s="27" customFormat="1" x14ac:dyDescent="0.25">
      <c r="A31" s="20" t="s">
        <v>83</v>
      </c>
      <c r="B31" s="21" t="s">
        <v>63</v>
      </c>
      <c r="C31" s="39">
        <v>56146</v>
      </c>
      <c r="D31" s="23">
        <f t="shared" si="0"/>
        <v>189</v>
      </c>
      <c r="E31" s="24"/>
      <c r="F31" s="24"/>
      <c r="G31" s="24"/>
      <c r="H31" s="24"/>
      <c r="I31" s="24">
        <v>4</v>
      </c>
      <c r="J31" s="24">
        <v>10</v>
      </c>
      <c r="K31" s="24">
        <v>5</v>
      </c>
      <c r="L31" s="24"/>
      <c r="M31" s="24">
        <v>15</v>
      </c>
      <c r="N31" s="24"/>
      <c r="O31" s="24"/>
      <c r="P31" s="24"/>
      <c r="Q31" s="24">
        <v>10</v>
      </c>
      <c r="R31" s="25">
        <v>10</v>
      </c>
      <c r="S31" s="24"/>
      <c r="T31" s="24"/>
      <c r="U31" s="24"/>
      <c r="V31" s="24"/>
      <c r="W31" s="24">
        <v>20</v>
      </c>
      <c r="X31" s="24"/>
      <c r="Y31" s="24"/>
      <c r="Z31" s="24">
        <v>6</v>
      </c>
      <c r="AA31" s="14">
        <v>10</v>
      </c>
      <c r="AB31" s="24"/>
      <c r="AC31" s="24"/>
      <c r="AD31" s="24">
        <v>4</v>
      </c>
      <c r="AE31" s="24"/>
      <c r="AF31" s="24">
        <v>6</v>
      </c>
      <c r="AG31" s="24">
        <v>4</v>
      </c>
      <c r="AH31" s="24"/>
      <c r="AI31" s="24"/>
      <c r="AJ31" s="26"/>
      <c r="AK31" s="24"/>
      <c r="AL31" s="24"/>
      <c r="AM31" s="24"/>
      <c r="AN31" s="24"/>
      <c r="AO31" s="24">
        <v>10</v>
      </c>
      <c r="AP31" s="24">
        <v>10</v>
      </c>
      <c r="AQ31" s="24"/>
      <c r="AR31" s="24">
        <v>60</v>
      </c>
      <c r="AS31" s="24">
        <v>5</v>
      </c>
      <c r="AT31" s="11">
        <f t="shared" si="3"/>
        <v>181.81818181818181</v>
      </c>
      <c r="AU31" s="23">
        <v>200</v>
      </c>
    </row>
    <row r="32" spans="1:47" s="27" customFormat="1" x14ac:dyDescent="0.25">
      <c r="A32" s="43" t="s">
        <v>84</v>
      </c>
      <c r="B32" s="44" t="s">
        <v>48</v>
      </c>
      <c r="C32" s="45">
        <v>1517</v>
      </c>
      <c r="D32" s="23">
        <f t="shared" si="0"/>
        <v>0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5"/>
      <c r="S32" s="24"/>
      <c r="T32" s="24"/>
      <c r="U32" s="24"/>
      <c r="V32" s="24"/>
      <c r="W32" s="24"/>
      <c r="X32" s="24"/>
      <c r="Y32" s="24"/>
      <c r="Z32" s="24"/>
      <c r="AA32" s="14"/>
      <c r="AB32" s="24"/>
      <c r="AC32" s="24"/>
      <c r="AD32" s="24"/>
      <c r="AE32" s="24"/>
      <c r="AF32" s="24"/>
      <c r="AG32" s="24"/>
      <c r="AH32" s="24"/>
      <c r="AI32" s="24"/>
      <c r="AJ32" s="26"/>
      <c r="AK32" s="24"/>
      <c r="AL32" s="24"/>
      <c r="AM32" s="24"/>
      <c r="AN32" s="24"/>
      <c r="AO32" s="24"/>
      <c r="AP32" s="24"/>
      <c r="AQ32" s="24"/>
      <c r="AR32" s="24"/>
      <c r="AS32" s="24"/>
      <c r="AT32" s="11">
        <f t="shared" si="3"/>
        <v>199.99999999999997</v>
      </c>
      <c r="AU32" s="23">
        <v>220</v>
      </c>
    </row>
    <row r="33" spans="1:47" s="27" customFormat="1" x14ac:dyDescent="0.25">
      <c r="A33" s="20" t="s">
        <v>85</v>
      </c>
      <c r="B33" s="21" t="s">
        <v>48</v>
      </c>
      <c r="C33" s="22">
        <v>10460</v>
      </c>
      <c r="D33" s="23">
        <f t="shared" si="0"/>
        <v>990</v>
      </c>
      <c r="E33" s="24"/>
      <c r="F33" s="24">
        <v>20</v>
      </c>
      <c r="G33" s="24">
        <v>10</v>
      </c>
      <c r="H33" s="24"/>
      <c r="I33" s="24">
        <v>30</v>
      </c>
      <c r="J33" s="24"/>
      <c r="K33" s="24"/>
      <c r="L33" s="24"/>
      <c r="M33" s="24"/>
      <c r="N33" s="24">
        <v>50</v>
      </c>
      <c r="O33" s="24"/>
      <c r="P33" s="24"/>
      <c r="Q33" s="24"/>
      <c r="R33" s="25">
        <v>50</v>
      </c>
      <c r="S33" s="24"/>
      <c r="T33" s="24">
        <v>30</v>
      </c>
      <c r="U33" s="24">
        <v>20</v>
      </c>
      <c r="V33" s="24">
        <v>20</v>
      </c>
      <c r="W33" s="24"/>
      <c r="X33" s="24"/>
      <c r="Y33" s="24"/>
      <c r="Z33" s="24"/>
      <c r="AA33" s="14"/>
      <c r="AB33" s="24"/>
      <c r="AC33" s="24"/>
      <c r="AD33" s="24">
        <v>30</v>
      </c>
      <c r="AE33" s="24">
        <v>20</v>
      </c>
      <c r="AF33" s="24"/>
      <c r="AG33" s="24"/>
      <c r="AH33" s="24"/>
      <c r="AI33" s="24"/>
      <c r="AJ33" s="26">
        <v>30</v>
      </c>
      <c r="AK33" s="24"/>
      <c r="AL33" s="24"/>
      <c r="AM33" s="24">
        <v>10</v>
      </c>
      <c r="AN33" s="24">
        <v>70</v>
      </c>
      <c r="AO33" s="24">
        <v>300</v>
      </c>
      <c r="AP33" s="24">
        <v>100</v>
      </c>
      <c r="AQ33" s="24">
        <v>100</v>
      </c>
      <c r="AR33" s="24">
        <v>100</v>
      </c>
      <c r="AS33" s="24"/>
      <c r="AT33" s="11">
        <f t="shared" si="3"/>
        <v>150</v>
      </c>
      <c r="AU33" s="23">
        <v>165</v>
      </c>
    </row>
    <row r="34" spans="1:47" s="27" customFormat="1" x14ac:dyDescent="0.25">
      <c r="A34" s="18" t="s">
        <v>86</v>
      </c>
      <c r="B34" s="19" t="s">
        <v>48</v>
      </c>
      <c r="C34" s="17">
        <v>337049</v>
      </c>
      <c r="D34" s="23">
        <f t="shared" si="0"/>
        <v>40</v>
      </c>
      <c r="E34" s="24"/>
      <c r="F34" s="24">
        <v>20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>
        <v>10</v>
      </c>
      <c r="R34" s="25"/>
      <c r="S34" s="24"/>
      <c r="T34" s="24"/>
      <c r="U34" s="24"/>
      <c r="V34" s="24"/>
      <c r="W34" s="24"/>
      <c r="X34" s="24"/>
      <c r="Y34" s="24"/>
      <c r="Z34" s="24"/>
      <c r="AA34" s="14"/>
      <c r="AB34" s="24"/>
      <c r="AC34" s="24"/>
      <c r="AD34" s="24"/>
      <c r="AE34" s="24"/>
      <c r="AF34" s="24"/>
      <c r="AG34" s="24">
        <v>10</v>
      </c>
      <c r="AH34" s="24"/>
      <c r="AI34" s="24"/>
      <c r="AJ34" s="26"/>
      <c r="AK34" s="24"/>
      <c r="AL34" s="24"/>
      <c r="AM34" s="24"/>
      <c r="AN34" s="24"/>
      <c r="AO34" s="24"/>
      <c r="AP34" s="24"/>
      <c r="AQ34" s="24"/>
      <c r="AR34" s="24"/>
      <c r="AS34" s="24"/>
      <c r="AT34" s="11">
        <f t="shared" si="3"/>
        <v>186.36363636363635</v>
      </c>
      <c r="AU34" s="23">
        <v>205</v>
      </c>
    </row>
    <row r="35" spans="1:47" s="27" customFormat="1" x14ac:dyDescent="0.25">
      <c r="A35" s="37" t="s">
        <v>87</v>
      </c>
      <c r="B35" s="46" t="s">
        <v>48</v>
      </c>
      <c r="C35" s="47">
        <v>53556</v>
      </c>
      <c r="D35" s="23">
        <f t="shared" ref="D35:D66" si="4">SUM(E35:AS35)</f>
        <v>180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5"/>
      <c r="S35" s="24"/>
      <c r="T35" s="24"/>
      <c r="U35" s="24"/>
      <c r="V35" s="24"/>
      <c r="W35" s="24"/>
      <c r="X35" s="24"/>
      <c r="Y35" s="24"/>
      <c r="Z35" s="24"/>
      <c r="AA35" s="14"/>
      <c r="AB35" s="24"/>
      <c r="AC35" s="24"/>
      <c r="AD35" s="24"/>
      <c r="AE35" s="24">
        <v>30</v>
      </c>
      <c r="AF35" s="24"/>
      <c r="AG35" s="24"/>
      <c r="AH35" s="24"/>
      <c r="AI35" s="24"/>
      <c r="AJ35" s="26"/>
      <c r="AK35" s="24"/>
      <c r="AL35" s="24"/>
      <c r="AM35" s="24"/>
      <c r="AN35" s="24"/>
      <c r="AO35" s="24"/>
      <c r="AP35" s="24"/>
      <c r="AQ35" s="24"/>
      <c r="AR35" s="24">
        <v>150</v>
      </c>
      <c r="AS35" s="24"/>
      <c r="AT35" s="11">
        <f t="shared" si="3"/>
        <v>172.72727272727272</v>
      </c>
      <c r="AU35" s="23">
        <v>190</v>
      </c>
    </row>
    <row r="36" spans="1:47" s="27" customFormat="1" x14ac:dyDescent="0.25">
      <c r="A36" s="20" t="s">
        <v>88</v>
      </c>
      <c r="B36" s="21" t="s">
        <v>48</v>
      </c>
      <c r="C36" s="22">
        <v>10458</v>
      </c>
      <c r="D36" s="23">
        <f t="shared" si="4"/>
        <v>430</v>
      </c>
      <c r="E36" s="24">
        <v>40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>
        <v>10</v>
      </c>
      <c r="R36" s="25">
        <v>50</v>
      </c>
      <c r="S36" s="24"/>
      <c r="T36" s="24">
        <v>10</v>
      </c>
      <c r="U36" s="24">
        <v>10</v>
      </c>
      <c r="V36" s="24"/>
      <c r="W36" s="24"/>
      <c r="X36" s="24"/>
      <c r="Y36" s="24"/>
      <c r="Z36" s="24"/>
      <c r="AA36" s="14"/>
      <c r="AB36" s="24">
        <v>30</v>
      </c>
      <c r="AC36" s="24">
        <v>40</v>
      </c>
      <c r="AD36" s="24"/>
      <c r="AE36" s="24"/>
      <c r="AF36" s="24"/>
      <c r="AG36" s="24">
        <v>30</v>
      </c>
      <c r="AH36" s="24"/>
      <c r="AI36" s="24">
        <v>10</v>
      </c>
      <c r="AJ36" s="26"/>
      <c r="AK36" s="24"/>
      <c r="AL36" s="24"/>
      <c r="AM36" s="24"/>
      <c r="AN36" s="24">
        <v>40</v>
      </c>
      <c r="AO36" s="24"/>
      <c r="AP36" s="24">
        <v>100</v>
      </c>
      <c r="AQ36" s="24">
        <v>50</v>
      </c>
      <c r="AR36" s="24"/>
      <c r="AS36" s="24">
        <v>10</v>
      </c>
      <c r="AT36" s="11">
        <f t="shared" si="3"/>
        <v>172.72727272727272</v>
      </c>
      <c r="AU36" s="23">
        <v>190</v>
      </c>
    </row>
    <row r="37" spans="1:47" s="27" customFormat="1" x14ac:dyDescent="0.25">
      <c r="A37" s="43" t="s">
        <v>89</v>
      </c>
      <c r="B37" s="44" t="s">
        <v>48</v>
      </c>
      <c r="C37" s="45">
        <v>50628</v>
      </c>
      <c r="D37" s="23">
        <f t="shared" si="4"/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5"/>
      <c r="S37" s="24"/>
      <c r="T37" s="24"/>
      <c r="U37" s="24"/>
      <c r="V37" s="24"/>
      <c r="W37" s="24"/>
      <c r="X37" s="24"/>
      <c r="Y37" s="24"/>
      <c r="Z37" s="24"/>
      <c r="AA37" s="14"/>
      <c r="AB37" s="24"/>
      <c r="AC37" s="24"/>
      <c r="AD37" s="24"/>
      <c r="AE37" s="24"/>
      <c r="AF37" s="24"/>
      <c r="AG37" s="24"/>
      <c r="AH37" s="24"/>
      <c r="AI37" s="24"/>
      <c r="AJ37" s="26"/>
      <c r="AK37" s="24"/>
      <c r="AL37" s="24"/>
      <c r="AM37" s="24"/>
      <c r="AN37" s="24"/>
      <c r="AO37" s="24"/>
      <c r="AP37" s="24"/>
      <c r="AQ37" s="24"/>
      <c r="AR37" s="24"/>
      <c r="AS37" s="24"/>
      <c r="AT37" s="11">
        <f t="shared" si="3"/>
        <v>181.81818181818181</v>
      </c>
      <c r="AU37" s="23">
        <v>200</v>
      </c>
    </row>
    <row r="38" spans="1:47" s="27" customFormat="1" x14ac:dyDescent="0.25">
      <c r="A38" s="48" t="s">
        <v>90</v>
      </c>
      <c r="B38" s="49" t="s">
        <v>48</v>
      </c>
      <c r="C38" s="50">
        <v>8488</v>
      </c>
      <c r="D38" s="23">
        <f t="shared" si="4"/>
        <v>220</v>
      </c>
      <c r="E38" s="24"/>
      <c r="F38" s="24">
        <v>10</v>
      </c>
      <c r="G38" s="24"/>
      <c r="H38" s="24"/>
      <c r="I38" s="24"/>
      <c r="J38" s="24"/>
      <c r="K38" s="24"/>
      <c r="L38" s="24"/>
      <c r="M38" s="24">
        <v>10</v>
      </c>
      <c r="N38" s="24">
        <v>10</v>
      </c>
      <c r="O38" s="24">
        <v>10</v>
      </c>
      <c r="P38" s="24"/>
      <c r="Q38" s="24"/>
      <c r="R38" s="25">
        <v>20</v>
      </c>
      <c r="S38" s="24"/>
      <c r="T38" s="24"/>
      <c r="U38" s="24"/>
      <c r="V38" s="24"/>
      <c r="W38" s="24">
        <v>10</v>
      </c>
      <c r="X38" s="24"/>
      <c r="Y38" s="24"/>
      <c r="Z38" s="24">
        <v>10</v>
      </c>
      <c r="AA38" s="14"/>
      <c r="AB38" s="24">
        <v>10</v>
      </c>
      <c r="AC38" s="24">
        <v>10</v>
      </c>
      <c r="AD38" s="24"/>
      <c r="AE38" s="24">
        <v>10</v>
      </c>
      <c r="AF38" s="24"/>
      <c r="AG38" s="24"/>
      <c r="AH38" s="24"/>
      <c r="AI38" s="24"/>
      <c r="AJ38" s="26">
        <v>20</v>
      </c>
      <c r="AK38" s="24">
        <v>10</v>
      </c>
      <c r="AL38" s="24"/>
      <c r="AM38" s="24"/>
      <c r="AN38" s="24">
        <v>10</v>
      </c>
      <c r="AO38" s="24">
        <v>30</v>
      </c>
      <c r="AP38" s="24">
        <v>20</v>
      </c>
      <c r="AQ38" s="24">
        <v>10</v>
      </c>
      <c r="AR38" s="24">
        <v>10</v>
      </c>
      <c r="AS38" s="24"/>
      <c r="AT38" s="11">
        <f t="shared" si="3"/>
        <v>272.72727272727269</v>
      </c>
      <c r="AU38" s="23">
        <v>300</v>
      </c>
    </row>
    <row r="39" spans="1:47" s="27" customFormat="1" x14ac:dyDescent="0.25">
      <c r="A39" s="51" t="s">
        <v>111</v>
      </c>
      <c r="B39" s="52" t="s">
        <v>48</v>
      </c>
      <c r="C39" s="53">
        <v>56268</v>
      </c>
      <c r="D39" s="23">
        <f t="shared" si="4"/>
        <v>140</v>
      </c>
      <c r="E39" s="24">
        <v>10</v>
      </c>
      <c r="F39" s="24"/>
      <c r="G39" s="24"/>
      <c r="H39" s="24"/>
      <c r="I39" s="24">
        <v>10</v>
      </c>
      <c r="J39" s="24"/>
      <c r="K39" s="24">
        <v>20</v>
      </c>
      <c r="L39" s="24">
        <v>20</v>
      </c>
      <c r="M39" s="24"/>
      <c r="N39" s="24">
        <v>10</v>
      </c>
      <c r="O39" s="24"/>
      <c r="P39" s="24"/>
      <c r="Q39" s="24">
        <v>10</v>
      </c>
      <c r="R39" s="25"/>
      <c r="S39" s="24">
        <v>10</v>
      </c>
      <c r="T39" s="24"/>
      <c r="U39" s="24"/>
      <c r="V39" s="24"/>
      <c r="W39" s="24"/>
      <c r="X39" s="24"/>
      <c r="Y39" s="24"/>
      <c r="Z39" s="24">
        <v>20</v>
      </c>
      <c r="AA39" s="14"/>
      <c r="AB39" s="24"/>
      <c r="AC39" s="24"/>
      <c r="AD39" s="24"/>
      <c r="AE39" s="24"/>
      <c r="AF39" s="24"/>
      <c r="AG39" s="24">
        <v>20</v>
      </c>
      <c r="AH39" s="24"/>
      <c r="AI39" s="24">
        <v>10</v>
      </c>
      <c r="AJ39" s="26"/>
      <c r="AK39" s="24"/>
      <c r="AL39" s="24"/>
      <c r="AM39" s="24"/>
      <c r="AN39" s="24"/>
      <c r="AO39" s="24"/>
      <c r="AP39" s="24"/>
      <c r="AQ39" s="24"/>
      <c r="AR39" s="24"/>
      <c r="AS39" s="24"/>
      <c r="AT39" s="11">
        <f t="shared" si="3"/>
        <v>159.09090909090907</v>
      </c>
      <c r="AU39" s="23">
        <v>175</v>
      </c>
    </row>
    <row r="40" spans="1:47" s="27" customFormat="1" x14ac:dyDescent="0.25">
      <c r="A40" s="20" t="s">
        <v>91</v>
      </c>
      <c r="B40" s="21" t="s">
        <v>49</v>
      </c>
      <c r="C40" s="22">
        <v>8460</v>
      </c>
      <c r="D40" s="23">
        <f t="shared" si="4"/>
        <v>690</v>
      </c>
      <c r="E40" s="24">
        <v>25</v>
      </c>
      <c r="F40" s="24">
        <v>25</v>
      </c>
      <c r="G40" s="24"/>
      <c r="H40" s="24"/>
      <c r="I40" s="24"/>
      <c r="J40" s="24"/>
      <c r="K40" s="24"/>
      <c r="L40" s="24">
        <v>25</v>
      </c>
      <c r="M40" s="24">
        <v>25</v>
      </c>
      <c r="N40" s="24">
        <v>25</v>
      </c>
      <c r="O40" s="24"/>
      <c r="P40" s="24"/>
      <c r="Q40" s="24"/>
      <c r="R40" s="25">
        <v>100</v>
      </c>
      <c r="S40" s="24"/>
      <c r="T40" s="24"/>
      <c r="U40" s="24"/>
      <c r="V40" s="24">
        <v>20</v>
      </c>
      <c r="W40" s="24"/>
      <c r="X40" s="24">
        <v>25</v>
      </c>
      <c r="Y40" s="24">
        <v>25</v>
      </c>
      <c r="Z40" s="24"/>
      <c r="AA40" s="14">
        <v>20</v>
      </c>
      <c r="AB40" s="24"/>
      <c r="AC40" s="24">
        <v>50</v>
      </c>
      <c r="AD40" s="24">
        <v>20</v>
      </c>
      <c r="AE40" s="24">
        <v>25</v>
      </c>
      <c r="AF40" s="24">
        <v>25</v>
      </c>
      <c r="AG40" s="24"/>
      <c r="AH40" s="24"/>
      <c r="AI40" s="24">
        <v>15</v>
      </c>
      <c r="AJ40" s="26"/>
      <c r="AK40" s="24">
        <v>15</v>
      </c>
      <c r="AL40" s="24"/>
      <c r="AM40" s="24"/>
      <c r="AN40" s="24">
        <v>25</v>
      </c>
      <c r="AO40" s="24">
        <v>100</v>
      </c>
      <c r="AP40" s="24"/>
      <c r="AQ40" s="24">
        <v>100</v>
      </c>
      <c r="AR40" s="24"/>
      <c r="AS40" s="24"/>
      <c r="AT40" s="11">
        <f t="shared" si="3"/>
        <v>59.090909090909086</v>
      </c>
      <c r="AU40" s="23">
        <v>65</v>
      </c>
    </row>
    <row r="41" spans="1:47" s="27" customFormat="1" x14ac:dyDescent="0.25">
      <c r="A41" s="20" t="s">
        <v>112</v>
      </c>
      <c r="B41" s="21" t="s">
        <v>48</v>
      </c>
      <c r="C41" s="22">
        <v>8464</v>
      </c>
      <c r="D41" s="23">
        <f t="shared" si="4"/>
        <v>90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5">
        <v>20</v>
      </c>
      <c r="S41" s="24"/>
      <c r="T41" s="24"/>
      <c r="U41" s="24"/>
      <c r="V41" s="24"/>
      <c r="W41" s="24"/>
      <c r="X41" s="24"/>
      <c r="Y41" s="24">
        <v>10</v>
      </c>
      <c r="Z41" s="24">
        <v>10</v>
      </c>
      <c r="AA41" s="14"/>
      <c r="AB41" s="24"/>
      <c r="AC41" s="24"/>
      <c r="AD41" s="24"/>
      <c r="AE41" s="24"/>
      <c r="AF41" s="24"/>
      <c r="AG41" s="24"/>
      <c r="AH41" s="24"/>
      <c r="AI41" s="24"/>
      <c r="AJ41" s="26"/>
      <c r="AK41" s="24"/>
      <c r="AL41" s="24"/>
      <c r="AM41" s="24"/>
      <c r="AN41" s="24"/>
      <c r="AO41" s="24"/>
      <c r="AP41" s="24">
        <v>30</v>
      </c>
      <c r="AQ41" s="24"/>
      <c r="AR41" s="24">
        <v>20</v>
      </c>
      <c r="AS41" s="24"/>
      <c r="AT41" s="11">
        <f t="shared" si="3"/>
        <v>145.45454545454544</v>
      </c>
      <c r="AU41" s="23">
        <v>160</v>
      </c>
    </row>
    <row r="42" spans="1:47" s="27" customFormat="1" x14ac:dyDescent="0.25">
      <c r="A42" s="54" t="s">
        <v>92</v>
      </c>
      <c r="B42" s="21" t="s">
        <v>48</v>
      </c>
      <c r="C42" s="55">
        <v>8463</v>
      </c>
      <c r="D42" s="23">
        <f t="shared" si="4"/>
        <v>0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5"/>
      <c r="S42" s="24"/>
      <c r="T42" s="24"/>
      <c r="U42" s="24"/>
      <c r="V42" s="24"/>
      <c r="W42" s="24"/>
      <c r="X42" s="24"/>
      <c r="Y42" s="24"/>
      <c r="Z42" s="24"/>
      <c r="AA42" s="14"/>
      <c r="AB42" s="24"/>
      <c r="AC42" s="24"/>
      <c r="AD42" s="24"/>
      <c r="AE42" s="24"/>
      <c r="AF42" s="24"/>
      <c r="AG42" s="24"/>
      <c r="AH42" s="24"/>
      <c r="AI42" s="24"/>
      <c r="AJ42" s="26"/>
      <c r="AK42" s="24"/>
      <c r="AL42" s="24"/>
      <c r="AM42" s="24"/>
      <c r="AN42" s="24"/>
      <c r="AO42" s="24"/>
      <c r="AP42" s="24"/>
      <c r="AQ42" s="24"/>
      <c r="AR42" s="24"/>
      <c r="AS42" s="24"/>
      <c r="AT42" s="11">
        <f t="shared" si="3"/>
        <v>86.36363636363636</v>
      </c>
      <c r="AU42" s="23">
        <v>95</v>
      </c>
    </row>
    <row r="43" spans="1:47" s="27" customFormat="1" x14ac:dyDescent="0.25">
      <c r="A43" s="20" t="s">
        <v>113</v>
      </c>
      <c r="B43" s="21" t="s">
        <v>48</v>
      </c>
      <c r="C43" s="22">
        <v>37664</v>
      </c>
      <c r="D43" s="23">
        <f t="shared" si="4"/>
        <v>930</v>
      </c>
      <c r="E43" s="24">
        <v>60</v>
      </c>
      <c r="F43" s="24"/>
      <c r="G43" s="24"/>
      <c r="H43" s="24"/>
      <c r="I43" s="24"/>
      <c r="J43" s="24"/>
      <c r="K43" s="24">
        <v>10</v>
      </c>
      <c r="L43" s="24"/>
      <c r="M43" s="24">
        <v>10</v>
      </c>
      <c r="N43" s="24"/>
      <c r="O43" s="24"/>
      <c r="P43" s="24"/>
      <c r="Q43" s="24"/>
      <c r="R43" s="25">
        <v>200</v>
      </c>
      <c r="S43" s="24"/>
      <c r="T43" s="24"/>
      <c r="U43" s="24"/>
      <c r="V43" s="24"/>
      <c r="W43" s="24"/>
      <c r="X43" s="24"/>
      <c r="Y43" s="24"/>
      <c r="Z43" s="24"/>
      <c r="AA43" s="14"/>
      <c r="AB43" s="24"/>
      <c r="AC43" s="24"/>
      <c r="AD43" s="24">
        <v>50</v>
      </c>
      <c r="AE43" s="24"/>
      <c r="AF43" s="24"/>
      <c r="AG43" s="24"/>
      <c r="AH43" s="24"/>
      <c r="AI43" s="24"/>
      <c r="AJ43" s="26"/>
      <c r="AK43" s="24"/>
      <c r="AL43" s="24"/>
      <c r="AM43" s="24"/>
      <c r="AN43" s="24"/>
      <c r="AO43" s="24">
        <v>300</v>
      </c>
      <c r="AP43" s="24">
        <v>150</v>
      </c>
      <c r="AQ43" s="24">
        <v>150</v>
      </c>
      <c r="AR43" s="24"/>
      <c r="AS43" s="24"/>
      <c r="AT43" s="11">
        <f t="shared" ref="AT43:AT52" si="5">AU43/1.1</f>
        <v>72.72727272727272</v>
      </c>
      <c r="AU43" s="23">
        <v>80</v>
      </c>
    </row>
    <row r="44" spans="1:47" s="27" customFormat="1" x14ac:dyDescent="0.25">
      <c r="A44" s="20" t="s">
        <v>93</v>
      </c>
      <c r="B44" s="21" t="s">
        <v>48</v>
      </c>
      <c r="C44" s="39">
        <v>315705</v>
      </c>
      <c r="D44" s="23">
        <f t="shared" si="4"/>
        <v>150</v>
      </c>
      <c r="E44" s="24"/>
      <c r="F44" s="24">
        <v>30</v>
      </c>
      <c r="G44" s="24"/>
      <c r="H44" s="24"/>
      <c r="I44" s="24"/>
      <c r="J44" s="24"/>
      <c r="K44" s="24"/>
      <c r="L44" s="24"/>
      <c r="M44" s="24"/>
      <c r="N44" s="24"/>
      <c r="O44" s="24"/>
      <c r="P44" s="24">
        <v>20</v>
      </c>
      <c r="Q44" s="24"/>
      <c r="R44" s="25"/>
      <c r="S44" s="24"/>
      <c r="T44" s="24"/>
      <c r="U44" s="24"/>
      <c r="V44" s="24"/>
      <c r="W44" s="24"/>
      <c r="X44" s="24"/>
      <c r="Y44" s="24"/>
      <c r="Z44" s="24"/>
      <c r="AA44" s="14"/>
      <c r="AB44" s="24"/>
      <c r="AC44" s="24"/>
      <c r="AD44" s="24"/>
      <c r="AE44" s="24"/>
      <c r="AF44" s="24"/>
      <c r="AG44" s="24"/>
      <c r="AH44" s="24"/>
      <c r="AI44" s="24"/>
      <c r="AJ44" s="26"/>
      <c r="AK44" s="24"/>
      <c r="AL44" s="24"/>
      <c r="AM44" s="24"/>
      <c r="AN44" s="24"/>
      <c r="AO44" s="24"/>
      <c r="AP44" s="24">
        <v>100</v>
      </c>
      <c r="AQ44" s="24"/>
      <c r="AR44" s="24"/>
      <c r="AS44" s="24"/>
      <c r="AT44" s="11">
        <f t="shared" si="5"/>
        <v>106.36363636363636</v>
      </c>
      <c r="AU44" s="23">
        <v>117</v>
      </c>
    </row>
    <row r="45" spans="1:47" s="27" customFormat="1" x14ac:dyDescent="0.25">
      <c r="A45" s="20" t="s">
        <v>94</v>
      </c>
      <c r="B45" s="21" t="s">
        <v>95</v>
      </c>
      <c r="C45" s="22">
        <v>8475</v>
      </c>
      <c r="D45" s="23">
        <f t="shared" si="4"/>
        <v>222.5</v>
      </c>
      <c r="E45" s="24">
        <v>5</v>
      </c>
      <c r="F45" s="24">
        <v>7</v>
      </c>
      <c r="G45" s="24"/>
      <c r="H45" s="24">
        <v>4</v>
      </c>
      <c r="I45" s="24">
        <v>4</v>
      </c>
      <c r="J45" s="24"/>
      <c r="K45" s="24"/>
      <c r="L45" s="24">
        <v>7</v>
      </c>
      <c r="M45" s="24">
        <v>3.5</v>
      </c>
      <c r="N45" s="24"/>
      <c r="O45" s="24"/>
      <c r="P45" s="24"/>
      <c r="Q45" s="24"/>
      <c r="R45" s="25">
        <v>14</v>
      </c>
      <c r="S45" s="24"/>
      <c r="T45" s="24"/>
      <c r="U45" s="24"/>
      <c r="V45" s="24">
        <v>3.5</v>
      </c>
      <c r="W45" s="24">
        <v>21</v>
      </c>
      <c r="X45" s="24">
        <v>4</v>
      </c>
      <c r="Y45" s="24"/>
      <c r="Z45" s="24">
        <v>7</v>
      </c>
      <c r="AA45" s="14">
        <v>10</v>
      </c>
      <c r="AB45" s="24">
        <v>7</v>
      </c>
      <c r="AC45" s="24">
        <v>3</v>
      </c>
      <c r="AD45" s="24"/>
      <c r="AE45" s="24"/>
      <c r="AF45" s="24">
        <v>7</v>
      </c>
      <c r="AG45" s="24">
        <v>7</v>
      </c>
      <c r="AH45" s="24"/>
      <c r="AI45" s="24"/>
      <c r="AJ45" s="26">
        <v>3</v>
      </c>
      <c r="AK45" s="24">
        <v>7</v>
      </c>
      <c r="AL45" s="24"/>
      <c r="AM45" s="24"/>
      <c r="AN45" s="24">
        <v>3.5</v>
      </c>
      <c r="AO45" s="24">
        <v>35</v>
      </c>
      <c r="AP45" s="24">
        <v>32</v>
      </c>
      <c r="AQ45" s="24"/>
      <c r="AR45" s="24">
        <v>28</v>
      </c>
      <c r="AS45" s="24"/>
      <c r="AT45" s="11">
        <f t="shared" si="5"/>
        <v>245.45454545454544</v>
      </c>
      <c r="AU45" s="23">
        <v>270</v>
      </c>
    </row>
    <row r="46" spans="1:47" s="27" customFormat="1" x14ac:dyDescent="0.25">
      <c r="A46" s="20" t="s">
        <v>96</v>
      </c>
      <c r="B46" s="21" t="s">
        <v>95</v>
      </c>
      <c r="C46" s="22">
        <v>8477</v>
      </c>
      <c r="D46" s="23">
        <f t="shared" si="4"/>
        <v>128.5</v>
      </c>
      <c r="E46" s="24">
        <v>5</v>
      </c>
      <c r="F46" s="24">
        <v>7</v>
      </c>
      <c r="G46" s="24"/>
      <c r="H46" s="24">
        <v>4</v>
      </c>
      <c r="I46" s="24"/>
      <c r="J46" s="24"/>
      <c r="K46" s="24"/>
      <c r="L46" s="24"/>
      <c r="M46" s="24">
        <v>3.5</v>
      </c>
      <c r="N46" s="24"/>
      <c r="O46" s="24"/>
      <c r="P46" s="24"/>
      <c r="Q46" s="24"/>
      <c r="R46" s="25">
        <v>21</v>
      </c>
      <c r="S46" s="24"/>
      <c r="T46" s="24"/>
      <c r="U46" s="24"/>
      <c r="V46" s="24">
        <v>3.5</v>
      </c>
      <c r="W46" s="24"/>
      <c r="X46" s="24"/>
      <c r="Y46" s="24"/>
      <c r="Z46" s="24"/>
      <c r="AA46" s="14"/>
      <c r="AB46" s="24">
        <v>7</v>
      </c>
      <c r="AC46" s="24">
        <v>3</v>
      </c>
      <c r="AD46" s="24"/>
      <c r="AE46" s="24"/>
      <c r="AF46" s="24">
        <v>7</v>
      </c>
      <c r="AG46" s="24">
        <v>7</v>
      </c>
      <c r="AH46" s="24"/>
      <c r="AI46" s="24"/>
      <c r="AJ46" s="26">
        <v>3</v>
      </c>
      <c r="AK46" s="24"/>
      <c r="AL46" s="24"/>
      <c r="AM46" s="24"/>
      <c r="AN46" s="24">
        <v>3.5</v>
      </c>
      <c r="AO46" s="24">
        <v>24</v>
      </c>
      <c r="AP46" s="24">
        <v>30</v>
      </c>
      <c r="AQ46" s="24"/>
      <c r="AR46" s="24"/>
      <c r="AS46" s="24"/>
      <c r="AT46" s="11">
        <f t="shared" si="5"/>
        <v>245.45454545454544</v>
      </c>
      <c r="AU46" s="23">
        <v>270</v>
      </c>
    </row>
    <row r="47" spans="1:47" s="27" customFormat="1" x14ac:dyDescent="0.25">
      <c r="A47" s="20" t="s">
        <v>97</v>
      </c>
      <c r="B47" s="21" t="s">
        <v>95</v>
      </c>
      <c r="C47" s="22">
        <v>25205</v>
      </c>
      <c r="D47" s="23">
        <f t="shared" si="4"/>
        <v>79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5">
        <v>7</v>
      </c>
      <c r="S47" s="24"/>
      <c r="T47" s="24"/>
      <c r="U47" s="24"/>
      <c r="V47" s="24"/>
      <c r="W47" s="24"/>
      <c r="X47" s="24"/>
      <c r="Y47" s="24"/>
      <c r="Z47" s="24"/>
      <c r="AA47" s="14"/>
      <c r="AB47" s="24"/>
      <c r="AC47" s="24">
        <v>3</v>
      </c>
      <c r="AD47" s="24"/>
      <c r="AE47" s="24"/>
      <c r="AF47" s="24">
        <v>7</v>
      </c>
      <c r="AG47" s="24">
        <v>7</v>
      </c>
      <c r="AH47" s="24"/>
      <c r="AI47" s="24"/>
      <c r="AJ47" s="26"/>
      <c r="AK47" s="24"/>
      <c r="AL47" s="24"/>
      <c r="AM47" s="24"/>
      <c r="AN47" s="24"/>
      <c r="AO47" s="24">
        <v>14</v>
      </c>
      <c r="AP47" s="24">
        <v>27</v>
      </c>
      <c r="AQ47" s="24"/>
      <c r="AR47" s="24">
        <v>14</v>
      </c>
      <c r="AS47" s="24"/>
      <c r="AT47" s="11">
        <f t="shared" si="5"/>
        <v>245.45454545454544</v>
      </c>
      <c r="AU47" s="23">
        <v>270</v>
      </c>
    </row>
    <row r="48" spans="1:47" s="27" customFormat="1" x14ac:dyDescent="0.25">
      <c r="A48" s="20" t="s">
        <v>98</v>
      </c>
      <c r="B48" s="21" t="s">
        <v>95</v>
      </c>
      <c r="C48" s="22">
        <v>8476</v>
      </c>
      <c r="D48" s="23">
        <f t="shared" si="4"/>
        <v>37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5">
        <v>30</v>
      </c>
      <c r="S48" s="24"/>
      <c r="T48" s="24"/>
      <c r="U48" s="24"/>
      <c r="V48" s="24"/>
      <c r="W48" s="24"/>
      <c r="X48" s="24"/>
      <c r="Y48" s="24"/>
      <c r="Z48" s="24"/>
      <c r="AA48" s="14"/>
      <c r="AB48" s="24"/>
      <c r="AC48" s="24"/>
      <c r="AD48" s="24"/>
      <c r="AE48" s="24"/>
      <c r="AF48" s="24"/>
      <c r="AG48" s="24">
        <v>7</v>
      </c>
      <c r="AH48" s="24"/>
      <c r="AI48" s="24"/>
      <c r="AJ48" s="26"/>
      <c r="AK48" s="24"/>
      <c r="AL48" s="24"/>
      <c r="AM48" s="24"/>
      <c r="AN48" s="24"/>
      <c r="AO48" s="24"/>
      <c r="AP48" s="24"/>
      <c r="AQ48" s="24"/>
      <c r="AR48" s="24"/>
      <c r="AS48" s="24"/>
      <c r="AT48" s="11">
        <f t="shared" si="5"/>
        <v>63.636363636363633</v>
      </c>
      <c r="AU48" s="23">
        <v>70</v>
      </c>
    </row>
    <row r="49" spans="1:47" s="27" customFormat="1" x14ac:dyDescent="0.25">
      <c r="A49" s="20" t="s">
        <v>99</v>
      </c>
      <c r="B49" s="21" t="s">
        <v>48</v>
      </c>
      <c r="C49" s="22">
        <v>30878</v>
      </c>
      <c r="D49" s="23">
        <f t="shared" si="4"/>
        <v>740</v>
      </c>
      <c r="E49" s="24"/>
      <c r="F49" s="24">
        <v>30</v>
      </c>
      <c r="G49" s="24"/>
      <c r="H49" s="24"/>
      <c r="I49" s="24"/>
      <c r="J49" s="24"/>
      <c r="K49" s="24"/>
      <c r="L49" s="24"/>
      <c r="M49" s="24"/>
      <c r="N49" s="24">
        <v>40</v>
      </c>
      <c r="O49" s="24"/>
      <c r="P49" s="24"/>
      <c r="Q49" s="24"/>
      <c r="R49" s="25">
        <v>30</v>
      </c>
      <c r="S49" s="24"/>
      <c r="T49" s="24">
        <v>10</v>
      </c>
      <c r="U49" s="24"/>
      <c r="V49" s="24"/>
      <c r="W49" s="24"/>
      <c r="X49" s="24">
        <v>30</v>
      </c>
      <c r="Y49" s="24"/>
      <c r="Z49" s="24"/>
      <c r="AA49" s="14"/>
      <c r="AB49" s="24"/>
      <c r="AC49" s="24">
        <v>40</v>
      </c>
      <c r="AD49" s="24"/>
      <c r="AE49" s="24">
        <v>20</v>
      </c>
      <c r="AF49" s="24">
        <v>30</v>
      </c>
      <c r="AG49" s="24"/>
      <c r="AH49" s="24">
        <v>40</v>
      </c>
      <c r="AI49" s="24"/>
      <c r="AJ49" s="26"/>
      <c r="AK49" s="24"/>
      <c r="AL49" s="24"/>
      <c r="AM49" s="24">
        <v>20</v>
      </c>
      <c r="AN49" s="24">
        <v>20</v>
      </c>
      <c r="AO49" s="24">
        <v>150</v>
      </c>
      <c r="AP49" s="24">
        <v>100</v>
      </c>
      <c r="AQ49" s="24">
        <v>50</v>
      </c>
      <c r="AR49" s="24">
        <v>100</v>
      </c>
      <c r="AS49" s="24">
        <v>30</v>
      </c>
      <c r="AT49" s="11">
        <f t="shared" si="5"/>
        <v>77.272727272727266</v>
      </c>
      <c r="AU49" s="23">
        <v>85</v>
      </c>
    </row>
    <row r="50" spans="1:47" s="27" customFormat="1" x14ac:dyDescent="0.25">
      <c r="A50" s="20" t="s">
        <v>114</v>
      </c>
      <c r="B50" s="21" t="s">
        <v>48</v>
      </c>
      <c r="C50" s="22">
        <v>52860</v>
      </c>
      <c r="D50" s="23">
        <f t="shared" si="4"/>
        <v>80</v>
      </c>
      <c r="E50" s="24"/>
      <c r="F50" s="24"/>
      <c r="G50" s="24"/>
      <c r="H50" s="24"/>
      <c r="I50" s="24"/>
      <c r="J50" s="24"/>
      <c r="K50" s="24"/>
      <c r="L50" s="24"/>
      <c r="M50" s="24"/>
      <c r="N50" s="24">
        <v>10</v>
      </c>
      <c r="O50" s="24"/>
      <c r="P50" s="24"/>
      <c r="Q50" s="24"/>
      <c r="R50" s="25">
        <v>20</v>
      </c>
      <c r="S50" s="24"/>
      <c r="T50" s="24"/>
      <c r="U50" s="24"/>
      <c r="V50" s="24"/>
      <c r="W50" s="24"/>
      <c r="X50" s="24"/>
      <c r="Y50" s="24"/>
      <c r="Z50" s="24"/>
      <c r="AA50" s="14"/>
      <c r="AB50" s="24"/>
      <c r="AC50" s="24"/>
      <c r="AD50" s="24"/>
      <c r="AE50" s="24"/>
      <c r="AF50" s="24"/>
      <c r="AG50" s="24"/>
      <c r="AH50" s="24"/>
      <c r="AI50" s="24"/>
      <c r="AJ50" s="26"/>
      <c r="AK50" s="24"/>
      <c r="AL50" s="24"/>
      <c r="AM50" s="24">
        <v>20</v>
      </c>
      <c r="AN50" s="24"/>
      <c r="AO50" s="24"/>
      <c r="AP50" s="24">
        <v>30</v>
      </c>
      <c r="AQ50" s="24"/>
      <c r="AR50" s="24"/>
      <c r="AS50" s="24"/>
      <c r="AT50" s="11">
        <f t="shared" si="5"/>
        <v>118.18181818181817</v>
      </c>
      <c r="AU50" s="23">
        <v>130</v>
      </c>
    </row>
    <row r="51" spans="1:47" s="27" customFormat="1" x14ac:dyDescent="0.25">
      <c r="A51" s="20" t="s">
        <v>115</v>
      </c>
      <c r="B51" s="21" t="s">
        <v>48</v>
      </c>
      <c r="C51" s="22">
        <v>36035</v>
      </c>
      <c r="D51" s="23">
        <f t="shared" si="4"/>
        <v>100</v>
      </c>
      <c r="E51" s="24"/>
      <c r="F51" s="24"/>
      <c r="G51" s="24"/>
      <c r="H51" s="24">
        <v>10</v>
      </c>
      <c r="I51" s="24"/>
      <c r="J51" s="24"/>
      <c r="K51" s="24"/>
      <c r="L51" s="24"/>
      <c r="M51" s="24"/>
      <c r="N51" s="24"/>
      <c r="O51" s="24"/>
      <c r="P51" s="24"/>
      <c r="Q51" s="24"/>
      <c r="R51" s="25">
        <v>30</v>
      </c>
      <c r="S51" s="24"/>
      <c r="T51" s="24"/>
      <c r="U51" s="24"/>
      <c r="V51" s="24"/>
      <c r="W51" s="24"/>
      <c r="X51" s="24"/>
      <c r="Y51" s="24"/>
      <c r="Z51" s="24"/>
      <c r="AA51" s="14"/>
      <c r="AB51" s="24"/>
      <c r="AC51" s="24"/>
      <c r="AD51" s="24"/>
      <c r="AE51" s="24"/>
      <c r="AF51" s="24"/>
      <c r="AG51" s="24">
        <v>30</v>
      </c>
      <c r="AH51" s="24"/>
      <c r="AI51" s="24"/>
      <c r="AJ51" s="26"/>
      <c r="AK51" s="24"/>
      <c r="AL51" s="24"/>
      <c r="AM51" s="24"/>
      <c r="AN51" s="24"/>
      <c r="AO51" s="24"/>
      <c r="AP51" s="24">
        <v>30</v>
      </c>
      <c r="AQ51" s="24"/>
      <c r="AR51" s="24"/>
      <c r="AS51" s="24"/>
      <c r="AT51" s="11">
        <f t="shared" si="5"/>
        <v>190.90909090909091</v>
      </c>
      <c r="AU51" s="23">
        <v>210</v>
      </c>
    </row>
    <row r="52" spans="1:47" s="27" customFormat="1" x14ac:dyDescent="0.25">
      <c r="A52" s="20" t="s">
        <v>100</v>
      </c>
      <c r="B52" s="21" t="s">
        <v>48</v>
      </c>
      <c r="C52" s="22">
        <v>37667</v>
      </c>
      <c r="D52" s="23">
        <f t="shared" si="4"/>
        <v>340</v>
      </c>
      <c r="E52" s="24"/>
      <c r="F52" s="24"/>
      <c r="G52" s="24">
        <v>10</v>
      </c>
      <c r="H52" s="24"/>
      <c r="I52" s="24"/>
      <c r="J52" s="24">
        <v>60</v>
      </c>
      <c r="K52" s="24">
        <v>10</v>
      </c>
      <c r="L52" s="24">
        <v>30</v>
      </c>
      <c r="M52" s="24"/>
      <c r="N52" s="24"/>
      <c r="O52" s="24"/>
      <c r="P52" s="24"/>
      <c r="Q52" s="24"/>
      <c r="R52" s="25"/>
      <c r="S52" s="24"/>
      <c r="T52" s="24"/>
      <c r="U52" s="24"/>
      <c r="V52" s="24"/>
      <c r="W52" s="24"/>
      <c r="X52" s="24"/>
      <c r="Y52" s="24">
        <v>30</v>
      </c>
      <c r="Z52" s="24"/>
      <c r="AA52" s="14"/>
      <c r="AB52" s="24">
        <v>20</v>
      </c>
      <c r="AC52" s="24"/>
      <c r="AD52" s="24"/>
      <c r="AE52" s="24"/>
      <c r="AF52" s="24">
        <v>30</v>
      </c>
      <c r="AG52" s="24"/>
      <c r="AH52" s="24"/>
      <c r="AI52" s="24"/>
      <c r="AJ52" s="26"/>
      <c r="AK52" s="24"/>
      <c r="AL52" s="24">
        <v>20</v>
      </c>
      <c r="AM52" s="24">
        <v>30</v>
      </c>
      <c r="AN52" s="24">
        <v>20</v>
      </c>
      <c r="AO52" s="24"/>
      <c r="AP52" s="24">
        <v>80</v>
      </c>
      <c r="AQ52" s="24"/>
      <c r="AR52" s="24"/>
      <c r="AS52" s="24"/>
      <c r="AT52" s="11">
        <f t="shared" si="5"/>
        <v>99.999999999999986</v>
      </c>
      <c r="AU52" s="23">
        <v>110</v>
      </c>
    </row>
    <row r="53" spans="1:47" s="27" customFormat="1" x14ac:dyDescent="0.25">
      <c r="A53" s="20" t="s">
        <v>101</v>
      </c>
      <c r="B53" s="21" t="s">
        <v>48</v>
      </c>
      <c r="C53" s="22">
        <v>38390</v>
      </c>
      <c r="D53" s="23">
        <f t="shared" si="4"/>
        <v>1070</v>
      </c>
      <c r="E53" s="24"/>
      <c r="F53" s="24">
        <v>30</v>
      </c>
      <c r="G53" s="24"/>
      <c r="H53" s="24">
        <v>80</v>
      </c>
      <c r="I53" s="24"/>
      <c r="J53" s="24"/>
      <c r="K53" s="24"/>
      <c r="L53" s="24">
        <v>10</v>
      </c>
      <c r="M53" s="24">
        <v>10</v>
      </c>
      <c r="N53" s="24"/>
      <c r="O53" s="24"/>
      <c r="P53" s="24">
        <v>40</v>
      </c>
      <c r="Q53" s="24">
        <v>20</v>
      </c>
      <c r="R53" s="25">
        <v>200</v>
      </c>
      <c r="S53" s="24"/>
      <c r="T53" s="24"/>
      <c r="U53" s="24"/>
      <c r="V53" s="24">
        <v>20</v>
      </c>
      <c r="W53" s="24"/>
      <c r="X53" s="24"/>
      <c r="Y53" s="24"/>
      <c r="Z53" s="24">
        <v>50</v>
      </c>
      <c r="AA53" s="14"/>
      <c r="AB53" s="24"/>
      <c r="AC53" s="24"/>
      <c r="AD53" s="24"/>
      <c r="AE53" s="24"/>
      <c r="AF53" s="24"/>
      <c r="AG53" s="24"/>
      <c r="AH53" s="24"/>
      <c r="AI53" s="24">
        <v>40</v>
      </c>
      <c r="AJ53" s="26"/>
      <c r="AK53" s="24"/>
      <c r="AL53" s="24"/>
      <c r="AM53" s="24"/>
      <c r="AN53" s="24"/>
      <c r="AO53" s="24">
        <v>300</v>
      </c>
      <c r="AP53" s="24">
        <v>150</v>
      </c>
      <c r="AQ53" s="24"/>
      <c r="AR53" s="24">
        <v>100</v>
      </c>
      <c r="AS53" s="24">
        <v>20</v>
      </c>
      <c r="AT53" s="11">
        <f t="shared" ref="AT53:AT59" si="6">AU53/1.1</f>
        <v>131.81818181818181</v>
      </c>
      <c r="AU53" s="23">
        <v>145</v>
      </c>
    </row>
    <row r="54" spans="1:47" s="27" customFormat="1" x14ac:dyDescent="0.25">
      <c r="A54" s="20" t="s">
        <v>102</v>
      </c>
      <c r="B54" s="21" t="s">
        <v>48</v>
      </c>
      <c r="C54" s="39">
        <v>331719</v>
      </c>
      <c r="D54" s="23">
        <f t="shared" si="4"/>
        <v>110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5">
        <v>50</v>
      </c>
      <c r="S54" s="24"/>
      <c r="T54" s="24"/>
      <c r="U54" s="24"/>
      <c r="V54" s="24"/>
      <c r="W54" s="24"/>
      <c r="X54" s="24">
        <v>30</v>
      </c>
      <c r="Y54" s="24">
        <v>30</v>
      </c>
      <c r="Z54" s="24"/>
      <c r="AA54" s="14"/>
      <c r="AB54" s="24"/>
      <c r="AC54" s="24"/>
      <c r="AD54" s="24"/>
      <c r="AE54" s="24"/>
      <c r="AF54" s="24"/>
      <c r="AG54" s="24"/>
      <c r="AH54" s="24"/>
      <c r="AI54" s="24"/>
      <c r="AJ54" s="26"/>
      <c r="AK54" s="24"/>
      <c r="AL54" s="24"/>
      <c r="AM54" s="24"/>
      <c r="AN54" s="24"/>
      <c r="AO54" s="24"/>
      <c r="AP54" s="24"/>
      <c r="AQ54" s="24"/>
      <c r="AR54" s="24"/>
      <c r="AS54" s="24"/>
      <c r="AT54" s="11">
        <f t="shared" si="6"/>
        <v>163.63636363636363</v>
      </c>
      <c r="AU54" s="23">
        <v>180</v>
      </c>
    </row>
    <row r="55" spans="1:47" s="27" customFormat="1" x14ac:dyDescent="0.25">
      <c r="A55" s="20" t="s">
        <v>103</v>
      </c>
      <c r="B55" s="21" t="s">
        <v>48</v>
      </c>
      <c r="C55" s="39">
        <v>21584</v>
      </c>
      <c r="D55" s="23">
        <f t="shared" si="4"/>
        <v>960</v>
      </c>
      <c r="E55" s="24"/>
      <c r="F55" s="24">
        <v>30</v>
      </c>
      <c r="G55" s="24"/>
      <c r="H55" s="24"/>
      <c r="I55" s="24"/>
      <c r="J55" s="24"/>
      <c r="K55" s="24">
        <v>10</v>
      </c>
      <c r="L55" s="24">
        <v>50</v>
      </c>
      <c r="M55" s="24"/>
      <c r="N55" s="24">
        <v>60</v>
      </c>
      <c r="O55" s="24">
        <v>60</v>
      </c>
      <c r="P55" s="24">
        <v>20</v>
      </c>
      <c r="Q55" s="24"/>
      <c r="R55" s="25">
        <v>50</v>
      </c>
      <c r="S55" s="24">
        <v>20</v>
      </c>
      <c r="T55" s="24">
        <v>20</v>
      </c>
      <c r="U55" s="24">
        <v>10</v>
      </c>
      <c r="V55" s="24"/>
      <c r="W55" s="24"/>
      <c r="X55" s="24"/>
      <c r="Y55" s="24"/>
      <c r="Z55" s="24">
        <v>40</v>
      </c>
      <c r="AA55" s="14"/>
      <c r="AB55" s="24">
        <v>60</v>
      </c>
      <c r="AC55" s="24"/>
      <c r="AD55" s="24">
        <v>60</v>
      </c>
      <c r="AE55" s="24"/>
      <c r="AF55" s="24"/>
      <c r="AG55" s="24"/>
      <c r="AH55" s="24">
        <v>40</v>
      </c>
      <c r="AI55" s="24"/>
      <c r="AJ55" s="26"/>
      <c r="AK55" s="24">
        <v>40</v>
      </c>
      <c r="AL55" s="24"/>
      <c r="AM55" s="24">
        <v>30</v>
      </c>
      <c r="AN55" s="24">
        <v>40</v>
      </c>
      <c r="AO55" s="24">
        <v>150</v>
      </c>
      <c r="AP55" s="24"/>
      <c r="AQ55" s="24">
        <v>50</v>
      </c>
      <c r="AR55" s="24">
        <v>100</v>
      </c>
      <c r="AS55" s="24">
        <v>20</v>
      </c>
      <c r="AT55" s="11">
        <f t="shared" si="6"/>
        <v>99.999999999999986</v>
      </c>
      <c r="AU55" s="23">
        <v>110</v>
      </c>
    </row>
    <row r="56" spans="1:47" s="27" customFormat="1" x14ac:dyDescent="0.25">
      <c r="A56" s="56" t="s">
        <v>104</v>
      </c>
      <c r="B56" s="57" t="s">
        <v>48</v>
      </c>
      <c r="C56" s="58">
        <v>164740</v>
      </c>
      <c r="D56" s="23">
        <f t="shared" si="4"/>
        <v>0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5"/>
      <c r="S56" s="24"/>
      <c r="T56" s="24"/>
      <c r="U56" s="24"/>
      <c r="V56" s="24"/>
      <c r="W56" s="24"/>
      <c r="X56" s="24"/>
      <c r="Y56" s="24"/>
      <c r="Z56" s="24"/>
      <c r="AA56" s="14"/>
      <c r="AB56" s="24"/>
      <c r="AC56" s="24"/>
      <c r="AD56" s="24"/>
      <c r="AE56" s="24"/>
      <c r="AF56" s="24"/>
      <c r="AG56" s="24"/>
      <c r="AH56" s="24"/>
      <c r="AI56" s="24"/>
      <c r="AJ56" s="26"/>
      <c r="AK56" s="24"/>
      <c r="AL56" s="24"/>
      <c r="AM56" s="24"/>
      <c r="AN56" s="24"/>
      <c r="AO56" s="24"/>
      <c r="AP56" s="24"/>
      <c r="AQ56" s="24"/>
      <c r="AR56" s="24"/>
      <c r="AS56" s="24"/>
      <c r="AT56" s="11">
        <f t="shared" si="6"/>
        <v>140.90909090909091</v>
      </c>
      <c r="AU56" s="23">
        <v>155</v>
      </c>
    </row>
    <row r="57" spans="1:47" s="27" customFormat="1" x14ac:dyDescent="0.25">
      <c r="A57" s="20" t="s">
        <v>105</v>
      </c>
      <c r="B57" s="21" t="s">
        <v>48</v>
      </c>
      <c r="C57" s="22">
        <v>38730</v>
      </c>
      <c r="D57" s="23">
        <f t="shared" si="4"/>
        <v>135</v>
      </c>
      <c r="E57" s="24">
        <v>20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5">
        <v>5</v>
      </c>
      <c r="S57" s="24"/>
      <c r="T57" s="24"/>
      <c r="U57" s="24"/>
      <c r="V57" s="24"/>
      <c r="W57" s="24"/>
      <c r="X57" s="24"/>
      <c r="Y57" s="24"/>
      <c r="Z57" s="24"/>
      <c r="AA57" s="14"/>
      <c r="AB57" s="24"/>
      <c r="AC57" s="24"/>
      <c r="AD57" s="24"/>
      <c r="AE57" s="24"/>
      <c r="AF57" s="24"/>
      <c r="AG57" s="24"/>
      <c r="AH57" s="24"/>
      <c r="AI57" s="24"/>
      <c r="AJ57" s="26"/>
      <c r="AK57" s="24"/>
      <c r="AL57" s="24"/>
      <c r="AM57" s="24"/>
      <c r="AN57" s="24"/>
      <c r="AO57" s="24">
        <v>30</v>
      </c>
      <c r="AP57" s="24">
        <v>40</v>
      </c>
      <c r="AQ57" s="24"/>
      <c r="AR57" s="24">
        <v>20</v>
      </c>
      <c r="AS57" s="24">
        <v>20</v>
      </c>
      <c r="AT57" s="11">
        <f t="shared" si="6"/>
        <v>179.09090909090907</v>
      </c>
      <c r="AU57" s="23">
        <v>197</v>
      </c>
    </row>
    <row r="58" spans="1:47" s="27" customFormat="1" x14ac:dyDescent="0.25">
      <c r="A58" s="59" t="s">
        <v>106</v>
      </c>
      <c r="B58" s="60" t="s">
        <v>72</v>
      </c>
      <c r="C58" s="61">
        <v>24572</v>
      </c>
      <c r="D58" s="23">
        <f t="shared" si="4"/>
        <v>125</v>
      </c>
      <c r="E58" s="24">
        <v>2</v>
      </c>
      <c r="F58" s="24"/>
      <c r="G58" s="24"/>
      <c r="H58" s="24"/>
      <c r="I58" s="24">
        <v>3</v>
      </c>
      <c r="J58" s="24"/>
      <c r="K58" s="24"/>
      <c r="L58" s="24"/>
      <c r="M58" s="24">
        <v>4</v>
      </c>
      <c r="N58" s="24"/>
      <c r="O58" s="24"/>
      <c r="P58" s="24">
        <v>2</v>
      </c>
      <c r="Q58" s="24"/>
      <c r="R58" s="25">
        <v>20</v>
      </c>
      <c r="S58" s="24"/>
      <c r="T58" s="24"/>
      <c r="U58" s="24"/>
      <c r="V58" s="24"/>
      <c r="W58" s="24"/>
      <c r="X58" s="24"/>
      <c r="Y58" s="24">
        <v>2</v>
      </c>
      <c r="Z58" s="24"/>
      <c r="AA58" s="14"/>
      <c r="AB58" s="24"/>
      <c r="AC58" s="24">
        <v>2</v>
      </c>
      <c r="AD58" s="24">
        <v>4</v>
      </c>
      <c r="AE58" s="24"/>
      <c r="AF58" s="24">
        <v>6</v>
      </c>
      <c r="AG58" s="24">
        <v>4</v>
      </c>
      <c r="AH58" s="24">
        <v>2</v>
      </c>
      <c r="AI58" s="24"/>
      <c r="AJ58" s="26"/>
      <c r="AK58" s="24">
        <v>4</v>
      </c>
      <c r="AL58" s="24"/>
      <c r="AM58" s="24"/>
      <c r="AN58" s="24"/>
      <c r="AO58" s="24">
        <v>50</v>
      </c>
      <c r="AP58" s="24"/>
      <c r="AQ58" s="24"/>
      <c r="AR58" s="24">
        <v>20</v>
      </c>
      <c r="AS58" s="24"/>
      <c r="AT58" s="11">
        <f t="shared" si="6"/>
        <v>163.63636363636363</v>
      </c>
      <c r="AU58" s="23">
        <v>180</v>
      </c>
    </row>
    <row r="59" spans="1:47" s="27" customFormat="1" x14ac:dyDescent="0.25">
      <c r="A59" s="62" t="s">
        <v>107</v>
      </c>
      <c r="B59" s="63" t="s">
        <v>50</v>
      </c>
      <c r="C59" s="64">
        <v>36723</v>
      </c>
      <c r="D59" s="23">
        <f t="shared" si="4"/>
        <v>0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12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65"/>
      <c r="AN59" s="23"/>
      <c r="AO59" s="23"/>
      <c r="AP59" s="23"/>
      <c r="AQ59" s="23"/>
      <c r="AR59" s="23"/>
      <c r="AS59" s="23"/>
      <c r="AT59" s="11">
        <f t="shared" si="6"/>
        <v>109.09090909090908</v>
      </c>
      <c r="AU59" s="23">
        <v>120</v>
      </c>
    </row>
    <row r="61" spans="1:47" x14ac:dyDescent="0.25"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</row>
    <row r="64" spans="1:47" x14ac:dyDescent="0.25">
      <c r="A64" s="8" t="s">
        <v>108</v>
      </c>
      <c r="B64" s="8">
        <f>SUM(D3:D58)</f>
        <v>11184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Федорова Екатерина Александровна</dc:creator>
  <cp:lastModifiedBy>Федорова Екатерина Александровна</cp:lastModifiedBy>
  <dcterms:created xsi:type="dcterms:W3CDTF">2026-07-30T09:48:25Z</dcterms:created>
  <dcterms:modified xsi:type="dcterms:W3CDTF">2026-07-30T11:32:07Z</dcterms:modified>
</cp:coreProperties>
</file>